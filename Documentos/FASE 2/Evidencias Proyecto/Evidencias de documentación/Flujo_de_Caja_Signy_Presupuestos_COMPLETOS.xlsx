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7467a9021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jo Bajo" sheetId="1" r:id="R9e73a01947b745fb"/>
    <x:sheet xmlns:r="http://schemas.openxmlformats.org/officeDocument/2006/relationships" name="Flujo Medio" sheetId="2" r:id="Rc3c86a42c4aa4567"/>
    <x:sheet xmlns:r="http://schemas.openxmlformats.org/officeDocument/2006/relationships" name="Flujo Alto" sheetId="3" r:id="Rb57adebe647a4d06"/>
    <x:sheet xmlns:r="http://schemas.openxmlformats.org/officeDocument/2006/relationships" name="Hoja1" sheetId="4" r:id="R753abfa3214e4c0a"/>
    <x:sheet xmlns:r="http://schemas.openxmlformats.org/officeDocument/2006/relationships" name="Detalle Costos" sheetId="5" r:id="R65440d6e1d2142b8"/>
    <x:sheet xmlns:r="http://schemas.openxmlformats.org/officeDocument/2006/relationships" name="Licencias" sheetId="6" r:id="Rb04c3554aa5e4780"/>
    <x:sheet xmlns:r="http://schemas.openxmlformats.org/officeDocument/2006/relationships" name="Costos Futuros" sheetId="7" r:id="R363724028e0c47c5"/>
  </x:sheets>
</x:workbook>
</file>

<file path=xl/sharedStrings.xml><?xml version="1.0" encoding="utf-8"?>
<x:sst xmlns:x="http://schemas.openxmlformats.org/spreadsheetml/2006/main">
  <x:si>
    <x:t xml:space="preserve">COLABORADOR INSTITUCIONAL</x:t>
  </x:si>
  <x:si>
    <x:t xml:space="preserve">INGRESOS</x:t>
  </x:si>
  <x:si>
    <x:t xml:space="preserve">Entidad</x:t>
  </x:si>
  <x:si>
    <x:t xml:space="preserve">FLUJOS DE CAJA</x:t>
  </x:si>
  <x:si>
    <x:t xml:space="preserve">Dependencia</x:t>
  </x:si>
  <x:si>
    <x:t xml:space="preserve">SUELDOS DE REFERENCIA — EQUIPO SIGNY (CLP)</x:t>
  </x:si>
  <x:si>
    <x:t xml:space="preserve">Año 1</x:t>
  </x:si>
  <x:si>
    <x:t xml:space="preserve">Año 2</x:t>
  </x:si>
  <x:si>
    <x:t xml:space="preserve">Año 3</x:t>
  </x:si>
  <x:si>
    <x:t xml:space="preserve">Tipo de apoyo</x:t>
  </x:si>
  <x:si>
    <x:t xml:space="preserve">Equipo</x:t>
  </x:si>
  <x:si>
    <x:t xml:space="preserve">Cargo / rol</x:t>
  </x:si>
  <x:si>
    <x:t xml:space="preserve">Sueldo mensual CLP</x:t>
  </x:si>
  <x:si>
    <x:t xml:space="preserve">Valor hora CLP</x:t>
  </x:si>
  <x:si>
    <x:t xml:space="preserve">Unidad</x:t>
  </x:si>
  <x:si>
    <x:t xml:space="preserve">Ingresos comprometidos / cliente</x:t>
  </x:si>
  <x:si>
    <x:t xml:space="preserve">Aporte financiero</x:t>
  </x:si>
  <x:si>
    <x:t xml:space="preserve">Aportes o fondos adjudicados</x:t>
  </x:si>
  <x:si>
    <x:t xml:space="preserve">Condición</x:t>
  </x:si>
  <x:si>
    <x:t xml:space="preserve">Préstamos</x:t>
  </x:si>
  <x:si>
    <x:t xml:space="preserve">Margen resultante</x:t>
  </x:si>
  <x:si>
    <x:t xml:space="preserve">Flujo Año 3</x:t>
  </x:si>
  <x:si>
    <x:t xml:space="preserve">Capital propio desembolsado</x:t>
  </x:si>
  <x:si>
    <x:t xml:space="preserve">Modelo actual</x:t>
  </x:si>
  <x:si>
    <x:t xml:space="preserve">Proyecto académico sin cliente externo</x:t>
  </x:si>
  <x:si>
    <x:t xml:space="preserve">Resultado esperado</x:t>
  </x:si>
  <x:si>
    <x:t xml:space="preserve">Otros ingresos</x:t>
  </x:si>
  <x:si>
    <x:t xml:space="preserve">Moneda</x:t>
  </x:si>
  <x:si>
    <x:t xml:space="preserve">Peso chileno (CLP)</x:t>
  </x:si>
  <x:si>
    <x:t xml:space="preserve">Escenario</x:t>
  </x:si>
  <x:si>
    <x:t xml:space="preserve">Total Ingresos</x:t>
  </x:si>
  <x:si>
    <x:t xml:space="preserve">TOTAL INGRESOS 3 AÑOS</x:t>
  </x:si>
  <x:si>
    <x:t xml:space="preserve">Préstamo</x:t>
  </x:si>
  <x:si>
    <x:t xml:space="preserve">Costo económico 3 años</x:t>
  </x:si>
  <x:si>
    <x:t xml:space="preserve">Indicador</x:t>
  </x:si>
  <x:si>
    <x:t xml:space="preserve">Valor CLP</x:t>
  </x:si>
  <x:si>
    <x:t xml:space="preserve">Saldo acumulado del proyecto</x:t>
  </x:si>
  <x:si>
    <x:t xml:space="preserve">SALDO ACUMULADO FINAL</x:t>
  </x:si>
  <x:si>
    <x:t xml:space="preserve">Cuotas</x:t>
  </x:si>
  <x:si>
    <x:t xml:space="preserve">Ingresos comprometidos 3 años</x:t>
  </x:si>
  <x:si>
    <x:t xml:space="preserve">Total sueldos referencia / mes</x:t>
  </x:si>
  <x:si>
    <x:t xml:space="preserve">Interés</x:t>
  </x:si>
  <x:si>
    <x:t xml:space="preserve">Tasa descuento</x:t>
  </x:si>
  <x:si>
    <x:t xml:space="preserve">Horas mensuales de referencia</x:t>
  </x:si>
  <x:si>
    <x:t xml:space="preserve">EGRESOS</x:t>
  </x:si>
  <x:si>
    <x:t xml:space="preserve">Valor cuota</x:t>
  </x:si>
  <x:si>
    <x:t xml:space="preserve">VAN</x:t>
  </x:si>
  <x:si>
    <x:t xml:space="preserve">Costo oportunidad equipo Año 1</x:t>
  </x:si>
  <x:si>
    <x:t xml:space="preserve">Arriendo / oficina</x:t>
  </x:si>
  <x:si>
    <x:t xml:space="preserve">Costo crédito</x:t>
  </x:si>
  <x:si>
    <x:t xml:space="preserve">TIR</x:t>
  </x:si>
  <x:si>
    <x:t xml:space="preserve">Sueldos valorizados / costo oportunidad</x:t>
  </x:si>
  <x:si>
    <x:t xml:space="preserve">Observación</x:t>
  </x:si>
  <x:si>
    <x:t xml:space="preserve">Servicios tecnológicos</x:t>
  </x:si>
  <x:si>
    <x:t xml:space="preserve">Cuota préstamo</x:t>
  </x:si>
  <x:si>
    <x:t xml:space="preserve">INVERSIÓN EN ACTIVOS</x:t>
  </x:si>
  <x:si>
    <x:t xml:space="preserve">Validación, pruebas y otros</x:t>
  </x:si>
  <x:si>
    <x:t xml:space="preserve">Recurso</x:t>
  </x:si>
  <x:si>
    <x:t xml:space="preserve">Costo CLP</x:t>
  </x:si>
  <x:si>
    <x:t xml:space="preserve">Total Egresos</x:t>
  </x:si>
  <x:si>
    <x:t xml:space="preserve">TOTAL EGRESOS 3 AÑOS</x:t>
  </x:si>
  <x:si>
    <x:t xml:space="preserve">4 notebooks personales / infraestructura Duoc UC</x:t>
  </x:si>
  <x:si>
    <x:t xml:space="preserve">Software base open source / licencias educativas</x:t>
  </x:si>
  <x:si>
    <x:t xml:space="preserve">Flujo neto anual</x:t>
  </x:si>
  <x:si>
    <x:t xml:space="preserve">FLUJO NETO TOTAL 3 AÑOS</x:t>
  </x:si>
  <x:si>
    <x:t xml:space="preserve">Total inversión inicial en activos</x:t>
  </x:si>
  <x:si>
    <x:t xml:space="preserve">Rol</x:t>
  </x:si>
  <x:si>
    <x:t xml:space="preserve">Horas Año 3</x:t>
  </x:si>
  <x:si>
    <x:t xml:space="preserve">Costo Año 3 CLP</x:t>
  </x:si>
  <x:si>
    <x:t xml:space="preserve">OTROS / DETALLE AÑO 1</x:t>
  </x:si>
  <x:si>
    <x:t xml:space="preserve">Ionic Framework (MIT)</x:t>
  </x:si>
  <x:si>
    <x:t xml:space="preserve">Angular (MIT)</x:t>
  </x:si>
  <x:si>
    <x:t xml:space="preserve">TypeScript / Node.js / npm (open source)</x:t>
  </x:si>
  <x:si>
    <x:t xml:space="preserve">Capacitor + plugins oficiales (MIT)</x:t>
  </x:si>
  <x:si>
    <x:t xml:space="preserve">MediaPipe Hands / Tasks Vision (uso técnico sin licencia pagada)</x:t>
  </x:si>
  <x:si>
    <x:t xml:space="preserve">Total mantención Año 3</x:t>
  </x:si>
  <x:si>
    <x:t xml:space="preserve">Android Studio / Android SDK</x:t>
  </x:si>
  <x:si>
    <x:t xml:space="preserve">Ionicons + Google Fonts usados por Signy</x:t>
  </x:si>
  <x:si>
    <x:t xml:space="preserve">OTROS AÑO 2 — REFERENCIA</x:t>
  </x:si>
  <x:si>
    <x:t xml:space="preserve">TOTAL COSTOS DIRECTOS AÑO 1</x:t>
  </x:si>
  <x:si>
    <x:t xml:space="preserve">Marketing digital (no contemplado)</x:t>
  </x:si>
  <x:si>
    <x:t xml:space="preserve">Egreso gasto</x:t>
  </x:si>
  <x:si>
    <x:t xml:space="preserve">Egreso costo</x:t>
  </x:si>
  <x:si>
    <x:t xml:space="preserve">Apoyo DIDECO Huechuraba / reclutamiento</x:t>
  </x:si>
  <x:si>
    <x:t xml:space="preserve">TOTAL ECONÓMICO AÑO 2</x:t>
  </x:si>
  <x:si>
    <x:t xml:space="preserve">SUPUESTOS Y FUENTES — SIGNY (TODOS LOS MONTOS EN CLP)</x:t>
  </x:si>
  <x:si>
    <x:t xml:space="preserve">PLAN MENSUAL AÑO 1 — CLP</x:t>
  </x:si>
  <x:si>
    <x:t xml:space="preserve">Concepto</x:t>
  </x:si>
  <x:si>
    <x:t xml:space="preserve">Valor base CLP</x:t>
  </x:si>
  <x:si>
    <x:t xml:space="preserve">Cant./Horas Año 1</x:t>
  </x:si>
  <x:si>
    <x:t xml:space="preserve">Costo Año 1 CLP</x:t>
  </x:si>
  <x:si>
    <x:t xml:space="preserve">Cant./Horas Año 2</x:t>
  </x:si>
  <x:si>
    <x:t xml:space="preserve">Costo Año 2 CLP</x:t>
  </x:si>
  <x:si>
    <x:t xml:space="preserve">Cant./Horas Año 3</x:t>
  </x:si>
  <x:si>
    <x:t xml:space="preserve">Fuente / criterio</x:t>
  </x:si>
  <x:si>
    <x:t xml:space="preserve">Mes 1</x:t>
  </x:si>
  <x:si>
    <x:t xml:space="preserve">Mes 2</x:t>
  </x:si>
  <x:si>
    <x:t xml:space="preserve">Mes 3</x:t>
  </x:si>
  <x:si>
    <x:t xml:space="preserve">Mes 4</x:t>
  </x:si>
  <x:si>
    <x:t xml:space="preserve">Mes 5</x:t>
  </x:si>
  <x:si>
    <x:t xml:space="preserve">Mes 6</x:t>
  </x:si>
  <x:si>
    <x:t xml:space="preserve">Mes 7</x:t>
  </x:si>
  <x:si>
    <x:t xml:space="preserve">Mes 8</x:t>
  </x:si>
  <x:si>
    <x:t xml:space="preserve">Mes 9</x:t>
  </x:si>
  <x:si>
    <x:t xml:space="preserve">Fernanda Poblete — Product Owner / Gestión de Proyectos</x:t>
  </x:si>
  <x:si>
    <x:t xml:space="preserve">CLP/mes</x:t>
  </x:si>
  <x:si>
    <x:t xml:space="preserve">Referencia 2026: Indeed Gestor/a de proyectos RM $1.687.725; Huechuraba $1.250.000. Valor planificado Signy $1.565.786. https://cl.indeed.com/career/gestor-de-proyectos/salaries/Regi%C3%B3n-Metropolitana</x:t>
  </x:si>
  <x:si>
    <x:t xml:space="preserve">Catalina Gutiérrez — Scrum Master / Development Team</x:t>
  </x:si>
  <x:si>
    <x:t xml:space="preserve">Indeed Scrum Master Santiago/RM $1.655.847. https://cl.indeed.com/career/scrum-master/salaries/Santiago-de-Chile--Regi%C3%B3n-Metropolitana</x:t>
  </x:si>
  <x:si>
    <x:t xml:space="preserve">Benjamín Vallejos — Desarrollador Junior</x:t>
  </x:si>
  <x:si>
    <x:t xml:space="preserve">Indeed Desarrollador Junior RM $945.941; Las Condes $1.163.180. Valor planificado Signy $1.050.000. https://cl.indeed.com/career/desarrollador-junior/salaries/Regi%C3%B3n-Metropolitana</x:t>
  </x:si>
  <x:si>
    <x:t xml:space="preserve">Michael Ibáñez — Desarrollador Junior</x:t>
  </x:si>
  <x:si>
    <x:t xml:space="preserve">Supabase Pro — backend, BD, Auth, Storage y Edge Functions</x:t>
  </x:si>
  <x:si>
    <x:t xml:space="preserve">Supabase Pro $25 USD/mes convertido a $23,585 CLP/mes. https://supabase.com/pricing</x:t>
  </x:si>
  <x:si>
    <x:t xml:space="preserve">Dominio .CL</x:t>
  </x:si>
  <x:si>
    <x:t xml:space="preserve">CLP/año</x:t>
  </x:si>
  <x:si>
    <x:t xml:space="preserve">NIC Chile: dominio .CL por 1 año = $9.990 CLP. https://www.nic.cl/dominios/tarifas.html</x:t>
  </x:si>
  <x:si>
    <x:t xml:space="preserve">Validación / apoyo profesional LSCh</x:t>
  </x:si>
  <x:si>
    <x:t xml:space="preserve">CLP/hora</x:t>
  </x:si>
  <x:si>
    <x:t xml:space="preserve">Referencia de contratación pública utilizada en el proyecto: $42.017 CLP/hora.</x:t>
  </x:si>
  <x:si>
    <x:t xml:space="preserve">TOTAL EGRESOS MENSUALES</x:t>
  </x:si>
  <x:si>
    <x:t xml:space="preserve">Incentivo pruebas de usabilidad</x:t>
  </x:si>
  <x:si>
    <x:t xml:space="preserve">CLP/persona</x:t>
  </x:si>
  <x:si>
    <x:t xml:space="preserve">Supuesto de planificación: $10.000 CLP por participante para reconocer tiempo y traslado.</x:t>
  </x:si>
  <x:si>
    <x:t xml:space="preserve">FLUJO MENSUAL (sin ingresos comprometidos)</x:t>
  </x:si>
  <x:si>
    <x:t xml:space="preserve">Logística de validación (traslados + materiales + colaciones)</x:t>
  </x:si>
  <x:si>
    <x:t xml:space="preserve">CLP/paquete</x:t>
  </x:si>
  <x:si>
    <x:t xml:space="preserve">Presupuesto directo de $50.000 CLP por ronda de validación: transporte, impresiones/materiales y colaciones simples.</x:t>
  </x:si>
  <x:si>
    <x:t xml:space="preserve">Horas legales mensuales de referencia</x:t>
  </x:si>
  <x:si>
    <x:t xml:space="preserve">horas/mes</x:t>
  </x:si>
  <x:si>
    <x:t xml:space="preserve">Dirección del Trabajo: jornada ordinaria máxima de 42 horas semanales desde 26-04-2026. Se usa 182 h/mes como referencia. https://www.dt.gob.cl/portal/1626/w3-propertyname-2556.html</x:t>
  </x:si>
  <x:si>
    <x:t xml:space="preserve">Inflación / reajuste anual de costos</x:t>
  </x:si>
  <x:si>
    <x:t xml:space="preserve">% anual</x:t>
  </x:si>
  <x:si>
    <x:t xml:space="preserve">Banco Central de Chile: meta de inflación 3% como supuesto de reajuste de largo plazo. https://www.bcentral.cl/es/web/banco-central/contenido/-/details/publicaciones/politica-monetaria/ipom-junio-2026</x:t>
  </x:si>
  <x:si>
    <x:t xml:space="preserve">Margen comercial referencial</x:t>
  </x:si>
  <x:si>
    <x:t xml:space="preserve">%</x:t>
  </x:si>
  <x:si>
    <x:t xml:space="preserve">Supuesto de valorización comercial; no corresponde a ingreso comprometido.</x:t>
  </x:si>
  <x:si>
    <x:t xml:space="preserve">Tasa de descuento VAN</x:t>
  </x:si>
  <x:si>
    <x:t xml:space="preserve">Supuesto académico conservador para evaluar flujos sin financiamiento externo.</x:t>
  </x:si>
  <x:si>
    <x:t xml:space="preserve">Dólar observado usado solo para convertir Supabase</x:t>
  </x:si>
  <x:si>
    <x:t xml:space="preserve">CLP por USD</x:t>
  </x:si>
  <x:si>
    <x:t xml:space="preserve">Tipo de cambio usado únicamente para convertir servicios en USD: 943.396 CLP/USD al 11-09-2026.</x:t>
  </x:si>
  <x:si>
    <x:t xml:space="preserve">Colaboración institucional — Oficina de Inclusión Social para Personas con Discapacidad, DIDECO Huechuraba</x:t>
  </x:si>
  <x:si>
    <x:t xml:space="preserve">CLP</x:t>
  </x:si>
  <x:si>
    <x:t xml:space="preserve">Aporte no monetario: facilita contacto con personas sordas para pruebas y validaciones. No es cliente, patrocinador ni fuente de financiamiento.</x:t>
  </x:si>
  <x:si>
    <x:t xml:space="preserve">Convocatoria / reclutamiento de participantes</x:t>
  </x:si>
  <x:si>
    <x:t xml:space="preserve">Costo directo $0 CLP gracias a la vinculación apoyada por la Oficina de Inclusión Social de Huechuraba.</x:t>
  </x:si>
  <x:si>
    <x:t xml:space="preserve">TOTAL COSTO ECONÓMICO PROYECTADO</x:t>
  </x:si>
  <x:si>
    <x:t xml:space="preserve">Costo de oportunidad de los 4 integrantes + costos tecnológicos y de validación. No incluye costos opcionales futuros de comercialización.</x:t>
  </x:si>
  <x:si>
    <x:t xml:space="preserve">SIGNY — DETALLE COMPLETO DE COSTOS Y RECURSOS (CLP)</x:t>
  </x:si>
  <x:si>
    <x:t xml:space="preserve">Base académica realista: costos directos + costo de oportunidad. Los elementos con $0 son necesarios pero cubiertos por licencias gratuitas, recursos existentes o colaboración institucional.</x:t>
  </x:si>
  <x:si>
    <x:t xml:space="preserve">Categoría</x:t>
  </x:si>
  <x:si>
    <x:t xml:space="preserve">Estado</x:t>
  </x:si>
  <x:si>
    <x:t xml:space="preserve">Valor unitario CLP</x:t>
  </x:si>
  <x:si>
    <x:t xml:space="preserve">Cantidad Año 1</x:t>
  </x:si>
  <x:si>
    <x:t xml:space="preserve">Cantidad Año 2</x:t>
  </x:si>
  <x:si>
    <x:t xml:space="preserve">Cantidad Año 3</x:t>
  </x:si>
  <x:si>
    <x:t xml:space="preserve">Incluido en flujo base</x:t>
  </x:si>
  <x:si>
    <x:t xml:space="preserve">RRHH</x:t>
  </x:si>
  <x:si>
    <x:t xml:space="preserve">Base</x:t>
  </x:si>
  <x:si>
    <x:t xml:space="preserve">Sí</x:t>
  </x:si>
  <x:si>
    <x:t xml:space="preserve">Valor ajustado solicitado, dentro de referencias reales 2026 para gestión de proyectos en Chile/RM.</x:t>
  </x:si>
  <x:si>
    <x:t xml:space="preserve">Indeed Chile 2026 — sueldo promedio Scrum Master Santiago/RM $1.655.847.</x:t>
  </x:si>
  <x:si>
    <x:t xml:space="preserve">Valor planificado $1.050.000; RM promedio 2026 $945.941 y Las Condes $1.163.180.</x:t>
  </x:si>
  <x:si>
    <x:t xml:space="preserve">Cloud</x:t>
  </x:si>
  <x:si>
    <x:t xml:space="preserve">Supabase Pro — Auth, PostgreSQL, Storage, Edge Functions, backups</x:t>
  </x:si>
  <x:si>
    <x:t xml:space="preserve">Supabase Pro $25 USD/mes convertido a CLP al tipo de cambio usado en el modelo.</x:t>
  </x:si>
  <x:si>
    <x:t xml:space="preserve">Dominio</x:t>
  </x:si>
  <x:si>
    <x:t xml:space="preserve">NIC Chile: $9.990 CLP por 1 año.</x:t>
  </x:si>
  <x:si>
    <x:t xml:space="preserve">Validación</x:t>
  </x:si>
  <x:si>
    <x:t xml:space="preserve">Referencia de servicio LSCh utilizada por el equipo: $42.017 CLP/h.</x:t>
  </x:si>
  <x:si>
    <x:t xml:space="preserve">Incentivos a participantes de pruebas</x:t>
  </x:si>
  <x:si>
    <x:t xml:space="preserve">Supuesto de planificación: $10.000 CLP por participante.</x:t>
  </x:si>
  <x:si>
    <x:t xml:space="preserve">Logística de validación: traslados, materiales y colaciones</x:t>
  </x:si>
  <x:si>
    <x:t xml:space="preserve">CLP/ronda</x:t>
  </x:si>
  <x:si>
    <x:t xml:space="preserve">Presupuesto directo por ronda de validación.</x:t>
  </x:si>
  <x:si>
    <x:t xml:space="preserve">Colaboración</x:t>
  </x:si>
  <x:si>
    <x:t xml:space="preserve">Oficina de Inclusión Social DIDECO Huechuraba — vinculación</x:t>
  </x:si>
  <x:si>
    <x:t xml:space="preserve">Aporte no monetario</x:t>
  </x:si>
  <x:si>
    <x:t xml:space="preserve">Facilita contacto con personas sordas; no existe patrocinio ni transferencia monetaria.</x:t>
  </x:si>
  <x:si>
    <x:t xml:space="preserve">Infraestructura</x:t>
  </x:si>
  <x:si>
    <x:t xml:space="preserve">4 notebooks personales del equipo</x:t>
  </x:si>
  <x:si>
    <x:t xml:space="preserve">Recurso existente</x:t>
  </x:si>
  <x:si>
    <x:t xml:space="preserve">No requiere compra nueva para el alcance académico.</x:t>
  </x:si>
  <x:si>
    <x:t xml:space="preserve">Dispositivos Android personales para pruebas</x:t>
  </x:si>
  <x:si>
    <x:t xml:space="preserve">Se utilizan equipos personales; costo incremental $0.</x:t>
  </x:si>
  <x:si>
    <x:t xml:space="preserve">Salas, Wi‑Fi y apoyo académico Duoc UC</x:t>
  </x:si>
  <x:si>
    <x:t xml:space="preserve">Recurso institucional</x:t>
  </x:si>
  <x:si>
    <x:t xml:space="preserve">Infraestructura disponible dentro del contexto académico.</x:t>
  </x:si>
  <x:si>
    <x:t xml:space="preserve">Despliegue</x:t>
  </x:si>
  <x:si>
    <x:t xml:space="preserve">Google Play Console — registro desarrollador</x:t>
  </x:si>
  <x:si>
    <x:t xml:space="preserve">Futuro / publicación</x:t>
  </x:si>
  <x:si>
    <x:t xml:space="preserve">CLP/pago único</x:t>
  </x:si>
  <x:si>
    <x:t xml:space="preserve">No</x:t>
  </x:si>
  <x:si>
    <x:t xml:space="preserve">Google Play cobra una cuota única equivalente a 25 USD; fuera del alcance actual de Fase 2.</x:t>
  </x:si>
  <x:si>
    <x:t xml:space="preserve">Propiedad intelectual</x:t>
  </x:si>
  <x:si>
    <x:t xml:space="preserve">Registro de marca INAPI — derechos 3 UTM</x:t>
  </x:si>
  <x:si>
    <x:t xml:space="preserve">Futuro / comercialización</x:t>
  </x:si>
  <x:si>
    <x:t xml:space="preserve">CLP/registro</x:t>
  </x:si>
  <x:si>
    <x:t xml:space="preserve">INAPI: 3 UTM por clase; UTM septiembre 2026 $71,721 CLP.</x:t>
  </x:si>
  <x:si>
    <x:t xml:space="preserve">Publicación extracto marca — referencia Diario Oficial</x:t>
  </x:si>
  <x:si>
    <x:t xml:space="preserve">CLP/publicación</x:t>
  </x:si>
  <x:si>
    <x:t xml:space="preserve">Referencia informativa; el costo real depende de la extensión del extracto.</x:t>
  </x:si>
  <x:si>
    <x:t xml:space="preserve">Colaboración dev</x:t>
  </x:si>
  <x:si>
    <x:t xml:space="preserve">GitHub Team para 4 integrantes</x:t>
  </x:si>
  <x:si>
    <x:t xml:space="preserve">Opcional</x:t>
  </x:si>
  <x:si>
    <x:t xml:space="preserve">CLP/mes equipo</x:t>
  </x:si>
  <x:si>
    <x:t xml:space="preserve">GitHub Team: 4 USD/usuario/mes; GitHub Free es suficiente para el repositorio actual.</x:t>
  </x:si>
  <x:si>
    <x:t xml:space="preserve">Diseño</x:t>
  </x:si>
  <x:si>
    <x:t xml:space="preserve">Figma Professional — 1 Full seat</x:t>
  </x:si>
  <x:si>
    <x:t xml:space="preserve">Figma Professional 16 USD/mes; estudiantes pueden usar Starter/Education a costo $0.</x:t>
  </x:si>
  <x:si>
    <x:t xml:space="preserve">TOTAL COSTO DE OPORTUNIDAD — EQUIPO</x:t>
  </x:si>
  <x:si>
    <x:t xml:space="preserve">TOTAL DESEMBOLSO DIRECTO — TECNOLOGÍA + VALIDACIÓN</x:t>
  </x:si>
  <x:si>
    <x:t xml:space="preserve">TOTAL COSTO ECONÓMICO BASE</x:t>
  </x:si>
  <x:si>
    <x:t xml:space="preserve">SIGNY — LICENCIAS, SERVICIOS Y HERRAMIENTAS NECESARIAS (CLP)</x:t>
  </x:si>
  <x:si>
    <x:t xml:space="preserve">Se listan herramientas pagadas y gratuitas utilizadas o pertinentes para el alcance de Signy. Los montos $0 indican licencia gratuita/open source o beneficio académico.</x:t>
  </x:si>
  <x:si>
    <x:t xml:space="preserve">Herramienta / servicio</x:t>
  </x:si>
  <x:si>
    <x:t xml:space="preserve">Uso en Signy</x:t>
  </x:si>
  <x:si>
    <x:t xml:space="preserve">Licencia / plan</x:t>
  </x:si>
  <x:si>
    <x:t xml:space="preserve">Costo unitario CLP</x:t>
  </x:si>
  <x:si>
    <x:t xml:space="preserve">Frecuencia</x:t>
  </x:si>
  <x:si>
    <x:t xml:space="preserve">¿Base?</x:t>
  </x:si>
  <x:si>
    <x:t xml:space="preserve">Fuente / observación</x:t>
  </x:si>
  <x:si>
    <x:t xml:space="preserve">Supabase Pro</x:t>
  </x:si>
  <x:si>
    <x:t xml:space="preserve">Backend, PostgreSQL, Auth, Storage, Edge Functions y backups</x:t>
  </x:si>
  <x:si>
    <x:t xml:space="preserve">Pro</x:t>
  </x:si>
  <x:si>
    <x:t xml:space="preserve">Mensual</x:t>
  </x:si>
  <x:si>
    <x:t xml:space="preserve">https://supabase.com/pricing</x:t>
  </x:si>
  <x:si>
    <x:t xml:space="preserve">GitHub</x:t>
  </x:si>
  <x:si>
    <x:t xml:space="preserve">Repositorio y control de versiones</x:t>
  </x:si>
  <x:si>
    <x:t xml:space="preserve">Free</x:t>
  </x:si>
  <x:si>
    <x:t xml:space="preserve">https://github.com/pricing</x:t>
  </x:si>
  <x:si>
    <x:t xml:space="preserve">GitHub Actions</x:t>
  </x:si>
  <x:si>
    <x:t xml:space="preserve">CI/CD básico para repositorio público</x:t>
  </x:si>
  <x:si>
    <x:t xml:space="preserve">Incluido en GitHub Free</x:t>
  </x:si>
  <x:si>
    <x:t xml:space="preserve">Ionic Framework</x:t>
  </x:si>
  <x:si>
    <x:t xml:space="preserve">Interfaz móvil híbrida</x:t>
  </x:si>
  <x:si>
    <x:t xml:space="preserve">MIT</x:t>
  </x:si>
  <x:si>
    <x:t xml:space="preserve">Sin costo</x:t>
  </x:si>
  <x:si>
    <x:t xml:space="preserve">https://github.com/ionic-team/ionic-framework</x:t>
  </x:si>
  <x:si>
    <x:t xml:space="preserve">Angular</x:t>
  </x:si>
  <x:si>
    <x:t xml:space="preserve">Frontend y componentes</x:t>
  </x:si>
  <x:si>
    <x:t xml:space="preserve">https://angular.dev/license</x:t>
  </x:si>
  <x:si>
    <x:t xml:space="preserve">TypeScript</x:t>
  </x:si>
  <x:si>
    <x:t xml:space="preserve">Lenguaje de desarrollo</x:t>
  </x:si>
  <x:si>
    <x:t xml:space="preserve">Open source</x:t>
  </x:si>
  <x:si>
    <x:t xml:space="preserve">https://github.com/microsoft/TypeScript</x:t>
  </x:si>
  <x:si>
    <x:t xml:space="preserve">Capacitor</x:t>
  </x:si>
  <x:si>
    <x:t xml:space="preserve">Puente con funciones nativas Android</x:t>
  </x:si>
  <x:si>
    <x:t xml:space="preserve">https://github.com/ionic-team/capacitor/blob/main/core/LICENSE</x:t>
  </x:si>
  <x:si>
    <x:t xml:space="preserve">Node.js / npm</x:t>
  </x:si>
  <x:si>
    <x:t xml:space="preserve">Runtime y gestión de dependencias</x:t>
  </x:si>
  <x:si>
    <x:t xml:space="preserve">MIT / open source</x:t>
  </x:si>
  <x:si>
    <x:t xml:space="preserve">https://github.com/nodejs/node</x:t>
  </x:si>
  <x:si>
    <x:t xml:space="preserve">MediaPipe Hands / Tasks Vision</x:t>
  </x:si>
  <x:si>
    <x:t xml:space="preserve">Detección de landmarks de manos</x:t>
  </x:si>
  <x:si>
    <x:t xml:space="preserve">Uso sin licencia pagada</x:t>
  </x:si>
  <x:si>
    <x:t xml:space="preserve">https://developers.google.com/edge/mediapipe/legal/tos</x:t>
  </x:si>
  <x:si>
    <x:t xml:space="preserve">Compilación, emulación y pruebas Android</x:t>
  </x:si>
  <x:si>
    <x:t xml:space="preserve">Gratis</x:t>
  </x:si>
  <x:si>
    <x:t xml:space="preserve">https://developer.android.com/studio</x:t>
  </x:si>
  <x:si>
    <x:t xml:space="preserve">Ionicons</x:t>
  </x:si>
  <x:si>
    <x:t xml:space="preserve">Iconografía de interfaz</x:t>
  </x:si>
  <x:si>
    <x:t xml:space="preserve">https://ionic.io/ionicons</x:t>
  </x:si>
  <x:si>
    <x:t xml:space="preserve">Google Fonts (Baloo 2 / Manrope)</x:t>
  </x:si>
  <x:si>
    <x:t xml:space="preserve">Tipografías de interfaz</x:t>
  </x:si>
  <x:si>
    <x:t xml:space="preserve">Open Font License</x:t>
  </x:si>
  <x:si>
    <x:t xml:space="preserve">https://fonts.google.com/</x:t>
  </x:si>
  <x:si>
    <x:t xml:space="preserve">Figma Starter / Education</x:t>
  </x:si>
  <x:si>
    <x:t xml:space="preserve">Prototipado UX/UI</x:t>
  </x:si>
  <x:si>
    <x:t xml:space="preserve">Gratis / Education</x:t>
  </x:si>
  <x:si>
    <x:t xml:space="preserve">https://www.figma.com/pricing-faq/</x:t>
  </x:si>
  <x:si>
    <x:t xml:space="preserve">Identidad web / landing / soporte futuro</x:t>
  </x:si>
  <x:si>
    <x:t xml:space="preserve">NIC Chile</x:t>
  </x:si>
  <x:si>
    <x:t xml:space="preserve">Anual</x:t>
  </x:si>
  <x:si>
    <x:t xml:space="preserve">https://www.nic.cl/dominios/tarifas.html</x:t>
  </x:si>
  <x:si>
    <x:t xml:space="preserve">Google Play Console</x:t>
  </x:si>
  <x:si>
    <x:t xml:space="preserve">Publicación oficial Android</x:t>
  </x:si>
  <x:si>
    <x:t xml:space="preserve">Registro desarrollador</x:t>
  </x:si>
  <x:si>
    <x:t xml:space="preserve">Pago único</x:t>
  </x:si>
  <x:si>
    <x:t xml:space="preserve">https://support.google.com/googleplay/android-developer/answer/6112435?hl=es</x:t>
  </x:si>
  <x:si>
    <x:t xml:space="preserve">GitHub Team (4 usuarios)</x:t>
  </x:si>
  <x:si>
    <x:t xml:space="preserve">Colaboración avanzada opcional</x:t>
  </x:si>
  <x:si>
    <x:t xml:space="preserve">Team</x:t>
  </x:si>
  <x:si>
    <x:t xml:space="preserve">Mensual equipo</x:t>
  </x:si>
  <x:si>
    <x:t xml:space="preserve">Figma Professional (1 Full seat)</x:t>
  </x:si>
  <x:si>
    <x:t xml:space="preserve">Diseño avanzado opcional</x:t>
  </x:si>
  <x:si>
    <x:t xml:space="preserve">Professional</x:t>
  </x:si>
  <x:si>
    <x:t xml:space="preserve">https://www.figma.com/pricing/</x:t>
  </x:si>
  <x:si>
    <x:t xml:space="preserve">SIGNY — COSTOS FUTUROS / NO INCLUIDOS EN FLUJO BASE</x:t>
  </x:si>
  <x:si>
    <x:t xml:space="preserve">Momento</x:t>
  </x:si>
  <x:si>
    <x:t xml:space="preserve">¿Necesario hoy?</x:t>
  </x:si>
  <x:si>
    <x:t xml:space="preserve">Motivo</x:t>
  </x:si>
  <x:si>
    <x:t xml:space="preserve">Fuente</x:t>
  </x:si>
  <x:si>
    <x:t xml:space="preserve">Si se publica en Play Store</x:t>
  </x:si>
  <x:si>
    <x:t xml:space="preserve">El informe actual excluye publicación en tiendas.</x:t>
  </x:si>
  <x:si>
    <x:t xml:space="preserve">Pago único.</x:t>
  </x:si>
  <x:si>
    <x:t xml:space="preserve">Registro de marca INAPI — derechos</x:t>
  </x:si>
  <x:si>
    <x:t xml:space="preserve">Si Signy se comercializa o formaliza</x:t>
  </x:si>
  <x:si>
    <x:t xml:space="preserve">Protección marcaria; 3 UTM por clase.</x:t>
  </x:si>
  <x:si>
    <x:t xml:space="preserve">https://www.inapi.cl/marcas/para-informarse</x:t>
  </x:si>
  <x:si>
    <x:t xml:space="preserve">No corresponde al alcance académico actual.</x:t>
  </x:si>
  <x:si>
    <x:t xml:space="preserve">Publicación extracto de marca</x:t>
  </x:si>
  <x:si>
    <x:t xml:space="preserve">Durante registro de marca</x:t>
  </x:si>
  <x:si>
    <x:t xml:space="preserve">Publicación obligatoria si se tramita marca.</x:t>
  </x:si>
  <x:si>
    <x:t xml:space="preserve">https://www.inapi.cl/portal/institucional/600/w3-article-906.html</x:t>
  </x:si>
  <x:si>
    <x:t xml:space="preserve">Monto referencial; puede variar.</x:t>
  </x:si>
  <x:si>
    <x:t xml:space="preserve">GitHub Team — 4 integrantes / mes</x:t>
  </x:si>
  <x:si>
    <x:t xml:space="preserve">Si se requiere colaboración avanzada</x:t>
  </x:si>
  <x:si>
    <x:t xml:space="preserve">GitHub Free cubre el repositorio actual.</x:t>
  </x:si>
  <x:si>
    <x:t xml:space="preserve">Costo mensual del equipo.</x:t>
  </x:si>
  <x:si>
    <x:t xml:space="preserve">Figma Professional — 1 Full seat / mes</x:t>
  </x:si>
  <x:si>
    <x:t xml:space="preserve">Si Education/Starter no fuese suficiente</x:t>
  </x:si>
  <x:si>
    <x:t xml:space="preserve">Actualmente puede utilizarse plan gratuito/educación.</x:t>
  </x:si>
  <x:si>
    <x:t xml:space="preserve">Costo mensual por 1 Full seat.</x:t>
  </x:si>
</x:sst>
</file>

<file path=xl/styles.xml><?xml version="1.0" encoding="utf-8"?>
<x:styleSheet xmlns:x="http://schemas.openxmlformats.org/spreadsheetml/2006/main">
  <x:numFmts count="7">
    <x:numFmt numFmtId="164" formatCode="$#,##0;[Red]($#,##0);-"/>
    <x:numFmt numFmtId="165" formatCode="#,##0;[Red](#,##0);-"/>
    <x:numFmt numFmtId="166" formatCode="_ * #,##0_ ;_ * \-#,##0_ ;_ * &quot;-&quot;_ ;_ @_ "/>
    <x:numFmt numFmtId="167" formatCode="[$$]#,##0"/>
    <x:numFmt numFmtId="168" formatCode="0.0%"/>
    <x:numFmt numFmtId="169" formatCode="_ * #,##0.00_ ;_ * \-#,##0.00_ ;_ * &quot;-&quot;_ ;_ @_ "/>
    <x:numFmt numFmtId="200" formatCode="0.0"/>
  </x:numFmts>
  <x:fonts count="27">
    <x:font>
      <x:sz val="11"/>
      <x:color theme="1"/>
      <x:name val="Calibri"/>
    </x:font>
    <x:font>
      <x:b/>
      <x:sz val="14"/>
      <x:color rgb="FFFFFFFF"/>
      <x:name val="Calibri"/>
    </x:font>
    <x:font>
      <x:b/>
      <x:sz val="16"/>
      <x:color rgb="FFFFFFFF"/>
      <x:name val="Calibri"/>
    </x:font>
    <x:font>
      <x:sz val="11"/>
      <x:color theme="1"/>
      <x:name val="Calibri"/>
    </x:font>
    <x:font>
      <x:b/>
      <x:i/>
      <x:sz val="10"/>
      <x:color rgb="FF17365D"/>
      <x:name val="Calibri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  <x:font/>
    <x:font>
      <x:b/>
      <x:sz val="11"/>
      <x:color rgb="FFFFFFFF"/>
      <x:name val="Arial"/>
    </x:font>
    <x:font>
      <x:b/>
      <x:sz val="12"/>
      <x:color theme="1"/>
      <x:name val="Calibri"/>
    </x:font>
    <x:font>
      <x:b/>
      <x:sz val="11"/>
      <x:color rgb="FF000000"/>
      <x:name val="Arial"/>
    </x:font>
    <x:font>
      <x:sz val="11"/>
      <x:color theme="1"/>
      <x:name val="Arial"/>
    </x:font>
    <x:font>
      <x:sz val="11"/>
      <x:color rgb="FF008000"/>
      <x:name val="Arial"/>
    </x:font>
    <x:font>
      <x:sz val="11"/>
      <x:color rgb="FF000000"/>
      <x:name val="Arial"/>
    </x:font>
    <x:font>
      <x:sz val="11"/>
      <x:color rgb="FF008000"/>
      <x:name val="Calibri"/>
    </x:font>
    <x:font>
      <x:b/>
      <x:sz val="11"/>
      <x:color rgb="FFFF0000"/>
      <x:name val="Calibri"/>
    </x:font>
    <x:font>
      <x:b/>
      <x:sz val="11"/>
      <x:color rgb="FF000000"/>
      <x:name val="Arial Narrow"/>
    </x:font>
    <x:font>
      <x:sz val="11"/>
      <x:color rgb="FF000000"/>
      <x:name val="Arial Narrow"/>
    </x:font>
    <x:font>
      <x:sz val="11"/>
      <x:color theme="1"/>
      <x:name val="Arial Narrow"/>
    </x:font>
    <x:font>
      <x:sz val="11"/>
      <x:color rgb="FF008000"/>
      <x:name val="Arial Narrow"/>
    </x:font>
    <x:font>
      <x:sz val="11"/>
      <x:color theme="1"/>
      <x:name val="Noto Sans Symbols"/>
    </x:font>
    <x:font>
      <x:color theme="1"/>
      <x:name val="Calibri"/>
    </x:font>
    <x:font>
      <x:b/>
      <x:sz val="11"/>
      <x:color rgb="FF1F1F1F"/>
      <x:name val="Calibri"/>
    </x:font>
  </x:fonts>
  <x:fills count="17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F00"/>
      </x:patternFill>
    </x:fill>
    <x:fill>
      <x:patternFill patternType="solid">
        <x:fgColor rgb="FFFBE4D5"/>
      </x:patternFill>
    </x:fill>
    <x:fill>
      <x:patternFill patternType="solid">
        <x:fgColor rgb="FFFFF2CC"/>
      </x:patternFill>
    </x:fill>
    <x:fill>
      <x:patternFill patternType="solid">
        <x:fgColor rgb="FFC5E0B3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B4C6E7"/>
      </x:patternFill>
    </x:fill>
  </x:fills>
  <x:borders count="51">
    <x:border/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bottom style="thick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ck">
        <x:color rgb="FF000000"/>
      </x:right>
      <x:top style="thin">
        <x:color rgb="FF000000"/>
      </x:top>
    </x:border>
    <x:border>
      <x:left style="medium">
        <x:color rgb="FF000000"/>
      </x:left>
      <x:top style="thick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right style="thin">
        <x:color rgb="FF000000"/>
      </x:right>
    </x:border>
    <x:border>
      <x:top style="thick">
        <x:color rgb="FF000000"/>
      </x:top>
      <x:bottom style="thin">
        <x:color rgb="FF000000"/>
      </x:bottom>
    </x:border>
    <x:border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</x:border>
    <x:border>
      <x:left style="thick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top style="thin">
        <x:color rgb="FF7F8C8D"/>
      </x:top>
    </x:border>
  </x:borders>
  <x:cellStyleXfs count="1">
    <x:xf numFmtId="0" fontId="0" fillId="0" borderId="0" applyFont="1" applyAlignment="1"/>
  </x:cellStyleXfs>
  <x:cellXfs count="35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3" fillId="0" borderId="0" xfId="0" applyFont="1" applyAlignment="1">
      <x:alignment wrapText="1"/>
    </x:xf>
    <x:xf numFmtId="0" fontId="4" fillId="3" borderId="0" xfId="0" applyFont="1" applyFill="1" applyAlignment="1">
      <x:alignment horizontal="center" vertical="center" wrapText="1"/>
    </x:xf>
    <x:xf numFmtId="0" fontId="5" fillId="0" borderId="0" xfId="0" applyFont="1" applyAlignment="1">
      <x:alignment horizontal="center" wrapText="1"/>
    </x:xf>
    <x:xf numFmtId="0" fontId="6" fillId="4" borderId="0" xfId="0" applyFont="1" applyFill="1" applyAlignment="1">
      <x:alignment horizontal="center" vertical="center" wrapText="1"/>
    </x:xf>
    <x:xf numFmtId="0" fontId="1" fillId="5" borderId="0" xfId="0" applyFont="1" applyFill="1" applyAlignment="1">
      <x:alignment horizontal="left" wrapText="1"/>
    </x:xf>
    <x:xf numFmtId="0" fontId="7" fillId="5" borderId="0" xfId="0" applyFont="1" applyFill="1" applyAlignment="1">
      <x:alignment horizontal="left" wrapText="1"/>
    </x:xf>
    <x:xf numFmtId="164" fontId="8" fillId="0" borderId="0" xfId="0" applyNumberFormat="1" applyFont="1" applyAlignment="1">
      <x:alignment wrapText="1"/>
    </x:xf>
    <x:xf numFmtId="0" fontId="8" fillId="0" borderId="0" xfId="0" applyFont="1" applyAlignment="1">
      <x:alignment wrapText="1"/>
    </x:xf>
    <x:xf numFmtId="165" fontId="8" fillId="0" borderId="0" xfId="0" applyNumberFormat="1" applyFont="1" applyAlignment="1">
      <x:alignment wrapText="1"/>
    </x:xf>
    <x:xf numFmtId="0" fontId="9" fillId="6" borderId="0" xfId="0" applyFont="1" applyFill="1" applyAlignment="1">
      <x:alignment horizontal="center" wrapText="1"/>
    </x:xf>
    <x:xf numFmtId="0" fontId="9" fillId="7" borderId="0" xfId="0" applyFont="1" applyFill="1" applyAlignment="1">
      <x:alignment wrapText="1"/>
    </x:xf>
    <x:xf numFmtId="164" fontId="10" fillId="8" borderId="0" xfId="0" applyNumberFormat="1" applyFont="1" applyFill="1" applyAlignment="1">
      <x:alignment wrapText="1"/>
    </x:xf>
    <x:xf numFmtId="0" fontId="6" fillId="9" borderId="1" xfId="0" applyFont="1" applyFill="1" applyBorder="1" applyAlignment="1">
      <x:alignment horizontal="center" wrapText="1"/>
    </x:xf>
    <x:xf numFmtId="0" fontId="11" fillId="0" borderId="2" xfId="0" applyFont="1" applyBorder="1"/>
    <x:xf numFmtId="0" fontId="11" fillId="0" borderId="3" xfId="0" applyFont="1" applyBorder="1"/>
    <x:xf numFmtId="0" fontId="6" fillId="0" borderId="0" xfId="0" applyFont="1" applyAlignment="1">
      <x:alignment horizontal="center" wrapText="1"/>
    </x:xf>
    <x:xf numFmtId="164" fontId="6" fillId="0" borderId="0" xfId="0" applyNumberFormat="1" applyFont="1" applyAlignment="1">
      <x:alignment horizontal="center" wrapText="1"/>
    </x:xf>
    <x:xf numFmtId="164" fontId="10" fillId="0" borderId="0" xfId="0" applyNumberFormat="1" applyFont="1" applyAlignment="1">
      <x:alignment wrapText="1"/>
    </x:xf>
    <x:xf numFmtId="0" fontId="9" fillId="7" borderId="4" xfId="0" applyFont="1" applyFill="1" applyBorder="1" applyAlignment="1">
      <x:alignment horizontal="center" vertical="center" wrapText="1"/>
    </x:xf>
    <x:xf numFmtId="0" fontId="11" fillId="0" borderId="5" xfId="0" applyFont="1" applyBorder="1"/>
    <x:xf numFmtId="0" fontId="7" fillId="2" borderId="4" xfId="0" applyFont="1" applyFill="1" applyBorder="1" applyAlignment="1">
      <x:alignment horizontal="center" vertical="center" wrapText="1"/>
    </x:xf>
    <x:xf numFmtId="0" fontId="11" fillId="0" borderId="6" xfId="0" applyFont="1" applyBorder="1"/>
    <x:xf numFmtId="166" fontId="3" fillId="0" borderId="0" xfId="0" applyNumberFormat="1" applyFont="1" applyAlignment="1">
      <x:alignment wrapText="1"/>
    </x:xf>
    <x:xf numFmtId="0" fontId="12" fillId="5" borderId="7" xfId="0" applyFont="1" applyFill="1" applyBorder="1" applyAlignment="1">
      <x:alignment horizontal="center" vertical="center" wrapText="1"/>
    </x:xf>
    <x:xf numFmtId="0" fontId="11" fillId="0" borderId="8" xfId="0" applyFont="1" applyBorder="1"/>
    <x:xf numFmtId="0" fontId="11" fillId="0" borderId="9" xfId="0" applyFont="1" applyBorder="1"/>
    <x:xf numFmtId="0" fontId="13" fillId="0" borderId="10" xfId="0" applyFont="1" applyBorder="1" applyAlignment="1">
      <x:alignment horizontal="center" wrapText="1"/>
    </x:xf>
    <x:xf numFmtId="0" fontId="13" fillId="0" borderId="11" xfId="0" applyFont="1" applyBorder="1" applyAlignment="1">
      <x:alignment horizontal="center" wrapText="1"/>
    </x:xf>
    <x:xf numFmtId="0" fontId="13" fillId="0" borderId="12" xfId="0" applyFont="1" applyBorder="1" applyAlignment="1">
      <x:alignment horizontal="center" wrapText="1"/>
    </x:xf>
    <x:xf numFmtId="0" fontId="13" fillId="0" borderId="0" xfId="0" applyFont="1" applyAlignment="1">
      <x:alignment horizontal="center" wrapText="1"/>
    </x:xf>
    <x:xf numFmtId="164" fontId="13" fillId="0" borderId="0" xfId="0" applyNumberFormat="1" applyFont="1" applyAlignment="1">
      <x:alignment horizontal="center" wrapText="1"/>
    </x:xf>
    <x:xf numFmtId="0" fontId="9" fillId="7" borderId="13" xfId="0" applyFont="1" applyFill="1" applyBorder="1" applyAlignment="1">
      <x:alignment wrapText="1"/>
    </x:xf>
    <x:xf numFmtId="164" fontId="10" fillId="9" borderId="14" xfId="0" applyNumberFormat="1" applyFont="1" applyFill="1" applyBorder="1" applyAlignment="1">
      <x:alignment wrapText="1"/>
    </x:xf>
    <x:xf numFmtId="0" fontId="3" fillId="0" borderId="15" xfId="0" applyFont="1" applyBorder="1" applyAlignment="1">
      <x:alignment wrapText="1"/>
    </x:xf>
    <x:xf numFmtId="164" fontId="8" fillId="0" borderId="15" xfId="0" applyNumberFormat="1" applyFont="1" applyBorder="1" applyAlignment="1">
      <x:alignment wrapText="1"/>
    </x:xf>
    <x:xf numFmtId="0" fontId="14" fillId="7" borderId="15" xfId="0" applyFont="1" applyFill="1" applyBorder="1" applyAlignment="1">
      <x:alignment horizontal="center" vertical="center" wrapText="1"/>
    </x:xf>
    <x:xf numFmtId="0" fontId="14" fillId="7" borderId="16" xfId="0" applyFont="1" applyFill="1" applyBorder="1" applyAlignment="1">
      <x:alignment horizontal="center" vertical="center" wrapText="1"/>
    </x:xf>
    <x:xf numFmtId="0" fontId="3" fillId="0" borderId="17" xfId="0" applyFont="1" applyBorder="1" applyAlignment="1">
      <x:alignment horizontal="center" wrapText="1"/>
    </x:xf>
    <x:xf numFmtId="164" fontId="8" fillId="0" borderId="18" xfId="0" applyNumberFormat="1" applyFont="1" applyBorder="1" applyAlignment="1">
      <x:alignment wrapText="1"/>
    </x:xf>
    <x:xf numFmtId="167" fontId="3" fillId="0" borderId="0" xfId="0" applyNumberFormat="1" applyFont="1" applyAlignment="1">
      <x:alignment wrapText="1"/>
    </x:xf>
    <x:xf numFmtId="164" fontId="3" fillId="0" borderId="0" xfId="0" applyNumberFormat="1" applyFont="1" applyAlignment="1">
      <x:alignment wrapText="1"/>
    </x:xf>
    <x:xf numFmtId="0" fontId="9" fillId="7" borderId="19" xfId="0" applyFont="1" applyFill="1" applyBorder="1" applyAlignment="1">
      <x:alignment wrapText="1"/>
    </x:xf>
    <x:xf numFmtId="168" fontId="10" fillId="0" borderId="20" xfId="0" applyNumberFormat="1" applyFont="1" applyBorder="1" applyAlignment="1">
      <x:alignment wrapText="1"/>
    </x:xf>
    <x:xf numFmtId="0" fontId="3" fillId="0" borderId="21" xfId="0" applyFont="1" applyBorder="1" applyAlignment="1">
      <x:alignment wrapText="1"/>
    </x:xf>
    <x:xf numFmtId="164" fontId="10" fillId="0" borderId="21" xfId="0" applyNumberFormat="1" applyFont="1" applyBorder="1" applyAlignment="1">
      <x:alignment wrapText="1"/>
    </x:xf>
    <x:xf numFmtId="0" fontId="15" fillId="0" borderId="21" xfId="0" applyFont="1" applyBorder="1" applyAlignment="1">
      <x:alignment wrapText="1"/>
    </x:xf>
    <x:xf numFmtId="164" fontId="15" fillId="0" borderId="21" xfId="0" applyNumberFormat="1" applyFont="1" applyBorder="1" applyAlignment="1">
      <x:alignment wrapText="1"/>
    </x:xf>
    <x:xf numFmtId="164" fontId="15" fillId="0" borderId="21" xfId="0" applyNumberFormat="1" applyFont="1" applyBorder="1" applyAlignment="1">
      <x:alignment wrapText="1"/>
    </x:xf>
    <x:xf numFmtId="164" fontId="16" fillId="0" borderId="21" xfId="0" applyNumberFormat="1" applyFont="1" applyBorder="1" applyAlignment="1">
      <x:alignment wrapText="1"/>
    </x:xf>
    <x:xf numFmtId="0" fontId="3" fillId="0" borderId="22" xfId="0" applyFont="1" applyBorder="1" applyAlignment="1">
      <x:alignment horizontal="center" wrapText="1"/>
    </x:xf>
    <x:xf numFmtId="164" fontId="8" fillId="0" borderId="21" xfId="0" applyNumberFormat="1" applyFont="1" applyBorder="1" applyAlignment="1">
      <x:alignment wrapText="1"/>
    </x:xf>
    <x:xf numFmtId="164" fontId="8" fillId="0" borderId="23" xfId="0" applyNumberFormat="1" applyFont="1" applyBorder="1" applyAlignment="1">
      <x:alignment wrapText="1"/>
    </x:xf>
    <x:xf numFmtId="168" fontId="10" fillId="8" borderId="20" xfId="0" applyNumberFormat="1" applyFont="1" applyFill="1" applyBorder="1" applyAlignment="1">
      <x:alignment wrapText="1"/>
    </x:xf>
    <x:xf numFmtId="0" fontId="3" fillId="0" borderId="19" xfId="0" applyFont="1" applyBorder="1" applyAlignment="1">
      <x:alignment wrapText="1"/>
    </x:xf>
    <x:xf numFmtId="0" fontId="3" fillId="0" borderId="22" xfId="0" applyFont="1" applyBorder="1" applyAlignment="1">
      <x:alignment wrapText="1"/>
    </x:xf>
    <x:xf numFmtId="166" fontId="3" fillId="0" borderId="20" xfId="0" applyNumberFormat="1" applyFont="1" applyBorder="1" applyAlignment="1">
      <x:alignment wrapText="1"/>
    </x:xf>
    <x:xf numFmtId="166" fontId="10" fillId="0" borderId="21" xfId="0" applyNumberFormat="1" applyFont="1" applyBorder="1" applyAlignment="1">
      <x:alignment wrapText="1"/>
    </x:xf>
    <x:xf numFmtId="0" fontId="15" fillId="0" borderId="0" xfId="0" applyFont="1" applyAlignment="1">
      <x:alignment wrapText="1"/>
    </x:xf>
    <x:xf numFmtId="164" fontId="15" fillId="0" borderId="0" xfId="0" applyNumberFormat="1" applyFont="1" applyAlignment="1">
      <x:alignment wrapText="1"/>
    </x:xf>
    <x:xf numFmtId="164" fontId="15" fillId="0" borderId="0" xfId="0" applyNumberFormat="1" applyFont="1" applyAlignment="1">
      <x:alignment wrapText="1"/>
    </x:xf>
    <x:xf numFmtId="164" fontId="16" fillId="0" borderId="0" xfId="0" applyNumberFormat="1" applyFont="1" applyAlignment="1">
      <x:alignment wrapText="1"/>
    </x:xf>
    <x:xf numFmtId="0" fontId="3" fillId="0" borderId="24" xfId="0" applyFont="1" applyBorder="1" applyAlignment="1">
      <x:alignment wrapText="1"/>
    </x:xf>
    <x:xf numFmtId="164" fontId="8" fillId="0" borderId="25" xfId="0" applyNumberFormat="1" applyFont="1" applyBorder="1" applyAlignment="1">
      <x:alignment wrapText="1"/>
    </x:xf>
    <x:xf numFmtId="164" fontId="8" fillId="0" borderId="26" xfId="0" applyNumberFormat="1" applyFont="1" applyBorder="1" applyAlignment="1">
      <x:alignment wrapText="1"/>
    </x:xf>
    <x:xf numFmtId="164" fontId="10" fillId="0" borderId="25" xfId="0" applyNumberFormat="1" applyFont="1" applyBorder="1" applyAlignment="1">
      <x:alignment wrapText="1"/>
    </x:xf>
    <x:xf numFmtId="164" fontId="10" fillId="0" borderId="26" xfId="0" applyNumberFormat="1" applyFont="1" applyBorder="1" applyAlignment="1">
      <x:alignment wrapText="1"/>
    </x:xf>
    <x:xf numFmtId="164" fontId="9" fillId="0" borderId="0" xfId="0" applyNumberFormat="1" applyFont="1" applyAlignment="1">
      <x:alignment horizontal="center" wrapText="1"/>
    </x:xf>
    <x:xf numFmtId="0" fontId="6" fillId="10" borderId="0" xfId="0" applyFont="1" applyFill="1" applyAlignment="1">
      <x:alignment wrapText="1"/>
    </x:xf>
    <x:xf numFmtId="164" fontId="8" fillId="0" borderId="20" xfId="0" applyNumberFormat="1" applyFont="1" applyBorder="1" applyAlignment="1">
      <x:alignment wrapText="1"/>
    </x:xf>
    <x:xf numFmtId="164" fontId="9" fillId="10" borderId="0" xfId="0" applyNumberFormat="1" applyFont="1" applyFill="1" applyAlignment="1">
      <x:alignment wrapText="1"/>
    </x:xf>
    <x:xf numFmtId="0" fontId="14" fillId="7" borderId="0" xfId="0" applyFont="1" applyFill="1" applyAlignment="1">
      <x:alignment wrapText="1"/>
    </x:xf>
    <x:xf numFmtId="164" fontId="14" fillId="7" borderId="21" xfId="0" applyNumberFormat="1" applyFont="1" applyFill="1" applyBorder="1" applyAlignment="1">
      <x:alignment wrapText="1"/>
    </x:xf>
    <x:xf numFmtId="164" fontId="17" fillId="0" borderId="21" xfId="0" applyNumberFormat="1" applyFont="1" applyBorder="1" applyAlignment="1">
      <x:alignment horizontal="right" wrapText="1"/>
    </x:xf>
    <x:xf numFmtId="164" fontId="15" fillId="0" borderId="0" xfId="0" applyNumberFormat="1" applyFont="1" applyAlignment="1">
      <x:alignment horizontal="right" wrapText="1"/>
    </x:xf>
    <x:xf numFmtId="0" fontId="3" fillId="11" borderId="27" xfId="0" applyFont="1" applyFill="1" applyBorder="1" applyAlignment="1">
      <x:alignment wrapText="1"/>
    </x:xf>
    <x:xf numFmtId="164" fontId="10" fillId="11" borderId="28" xfId="0" applyNumberFormat="1" applyFont="1" applyFill="1" applyBorder="1" applyAlignment="1">
      <x:alignment wrapText="1"/>
    </x:xf>
    <x:xf numFmtId="0" fontId="6" fillId="12" borderId="0" xfId="0" applyFont="1" applyFill="1" applyAlignment="1">
      <x:alignment wrapText="1"/>
    </x:xf>
    <x:xf numFmtId="164" fontId="10" fillId="11" borderId="29" xfId="0" applyNumberFormat="1" applyFont="1" applyFill="1" applyBorder="1" applyAlignment="1">
      <x:alignment wrapText="1"/>
    </x:xf>
    <x:xf numFmtId="164" fontId="9" fillId="12" borderId="0" xfId="0" applyNumberFormat="1" applyFont="1" applyFill="1" applyAlignment="1">
      <x:alignment wrapText="1"/>
    </x:xf>
    <x:xf numFmtId="0" fontId="3" fillId="9" borderId="19" xfId="0" applyFont="1" applyFill="1" applyBorder="1" applyAlignment="1">
      <x:alignment horizontal="center" wrapText="1"/>
    </x:xf>
    <x:xf numFmtId="164" fontId="8" fillId="9" borderId="20" xfId="0" applyNumberFormat="1" applyFont="1" applyFill="1" applyBorder="1" applyAlignment="1">
      <x:alignment wrapText="1"/>
    </x:xf>
    <x:xf numFmtId="164" fontId="16" fillId="0" borderId="21" xfId="0" applyNumberFormat="1" applyFont="1" applyBorder="1" applyAlignment="1">
      <x:alignment horizontal="right" wrapText="1"/>
    </x:xf>
    <x:xf numFmtId="0" fontId="3" fillId="0" borderId="19" xfId="0" applyFont="1" applyBorder="1" applyAlignment="1">
      <x:alignment horizontal="center" wrapText="1"/>
    </x:xf>
    <x:xf numFmtId="0" fontId="6" fillId="13" borderId="0" xfId="0" applyFont="1" applyFill="1" applyAlignment="1">
      <x:alignment wrapText="1"/>
    </x:xf>
    <x:xf numFmtId="168" fontId="10" fillId="0" borderId="21" xfId="0" applyNumberFormat="1" applyFont="1" applyBorder="1" applyAlignment="1">
      <x:alignment horizontal="center" wrapText="1"/>
    </x:xf>
    <x:xf numFmtId="164" fontId="9" fillId="13" borderId="0" xfId="0" applyNumberFormat="1" applyFont="1" applyFill="1" applyAlignment="1">
      <x:alignment wrapText="1"/>
    </x:xf>
    <x:xf numFmtId="9" fontId="3" fillId="0" borderId="0" xfId="0" applyNumberFormat="1" applyFont="1" applyAlignment="1">
      <x:alignment wrapText="1"/>
    </x:xf>
    <x:xf numFmtId="0" fontId="15" fillId="0" borderId="30" xfId="0" applyFont="1" applyBorder="1" applyAlignment="1">
      <x:alignment wrapText="1"/>
    </x:xf>
    <x:xf numFmtId="164" fontId="16" fillId="0" borderId="21" xfId="0" applyNumberFormat="1" applyFont="1" applyBorder="1" applyAlignment="1">
      <x:alignment wrapText="1"/>
    </x:xf>
    <x:xf numFmtId="0" fontId="6" fillId="14" borderId="17" xfId="0" applyFont="1" applyFill="1" applyBorder="1" applyAlignment="1">
      <x:alignment horizontal="center" wrapText="1"/>
    </x:xf>
    <x:xf numFmtId="0" fontId="11" fillId="0" borderId="31" xfId="0" applyFont="1" applyBorder="1"/>
    <x:xf numFmtId="0" fontId="11" fillId="0" borderId="32" xfId="0" applyFont="1" applyBorder="1"/>
    <x:xf numFmtId="168" fontId="8" fillId="0" borderId="0" xfId="0" applyNumberFormat="1" applyFont="1" applyAlignment="1">
      <x:alignment wrapText="1"/>
    </x:xf>
    <x:xf numFmtId="169" fontId="3" fillId="0" borderId="0" xfId="0" applyNumberFormat="1" applyFont="1" applyAlignment="1">
      <x:alignment wrapText="1"/>
    </x:xf>
    <x:xf numFmtId="4" fontId="8" fillId="0" borderId="0" xfId="0" applyNumberFormat="1" applyFont="1" applyAlignment="1">
      <x:alignment wrapText="1"/>
    </x:xf>
    <x:xf numFmtId="0" fontId="6" fillId="0" borderId="0" xfId="0" applyFont="1" applyAlignment="1">
      <x:alignment wrapText="1"/>
    </x:xf>
    <x:xf numFmtId="164" fontId="9" fillId="7" borderId="0" xfId="0" applyNumberFormat="1" applyFont="1" applyFill="1" applyAlignment="1">
      <x:alignment wrapText="1"/>
    </x:xf>
    <x:xf numFmtId="164" fontId="10" fillId="0" borderId="21" xfId="0" applyNumberFormat="1" applyFont="1" applyBorder="1" applyAlignment="1">
      <x:alignment horizontal="center" wrapText="1"/>
    </x:xf>
    <x:xf numFmtId="0" fontId="3" fillId="0" borderId="33" xfId="0" applyFont="1" applyBorder="1" applyAlignment="1">
      <x:alignment horizontal="center" wrapText="1"/>
    </x:xf>
    <x:xf numFmtId="9" fontId="8" fillId="0" borderId="21" xfId="0" applyNumberFormat="1" applyFont="1" applyBorder="1" applyAlignment="1">
      <x:alignment horizontal="center" wrapText="1"/>
    </x:xf>
    <x:xf numFmtId="0" fontId="12" fillId="2" borderId="7" xfId="0" applyFont="1" applyFill="1" applyBorder="1" applyAlignment="1">
      <x:alignment horizontal="center" vertical="center" wrapText="1"/>
    </x:xf>
    <x:xf numFmtId="164" fontId="18" fillId="0" borderId="21" xfId="0" applyNumberFormat="1" applyFont="1" applyBorder="1" applyAlignment="1">
      <x:alignment wrapText="1"/>
    </x:xf>
    <x:xf numFmtId="164" fontId="18" fillId="0" borderId="23" xfId="0" applyNumberFormat="1" applyFont="1" applyBorder="1" applyAlignment="1">
      <x:alignment wrapText="1"/>
    </x:xf>
    <x:xf numFmtId="0" fontId="3" fillId="0" borderId="34" xfId="0" applyFont="1" applyBorder="1" applyAlignment="1">
      <x:alignment horizontal="center" wrapText="1"/>
    </x:xf>
    <x:xf numFmtId="166" fontId="3" fillId="0" borderId="35" xfId="0" applyNumberFormat="1" applyFont="1" applyBorder="1" applyAlignment="1">
      <x:alignment wrapText="1"/>
    </x:xf>
    <x:xf numFmtId="0" fontId="14" fillId="4" borderId="15" xfId="0" applyFont="1" applyFill="1" applyBorder="1" applyAlignment="1">
      <x:alignment horizontal="center" vertical="center" wrapText="1"/>
    </x:xf>
    <x:xf numFmtId="0" fontId="14" fillId="4" borderId="16" xfId="0" applyFont="1" applyFill="1" applyBorder="1" applyAlignment="1">
      <x:alignment horizontal="center" vertical="center" wrapText="1"/>
    </x:xf>
    <x:xf numFmtId="164" fontId="18" fillId="0" borderId="21" xfId="0" applyNumberFormat="1" applyFont="1" applyBorder="1" applyAlignment="1">
      <x:alignment wrapText="1"/>
    </x:xf>
    <x:xf numFmtId="164" fontId="18" fillId="0" borderId="23" xfId="0" applyNumberFormat="1" applyFont="1" applyBorder="1" applyAlignment="1">
      <x:alignment wrapText="1"/>
    </x:xf>
    <x:xf numFmtId="165" fontId="15" fillId="0" borderId="21" xfId="0" applyNumberFormat="1" applyFont="1" applyBorder="1" applyAlignment="1">
      <x:alignment horizontal="right" wrapText="1"/>
    </x:xf>
    <x:xf numFmtId="165" fontId="15" fillId="0" borderId="0" xfId="0" applyNumberFormat="1" applyFont="1" applyAlignment="1">
      <x:alignment wrapText="1"/>
    </x:xf>
    <x:xf numFmtId="164" fontId="16" fillId="0" borderId="0" xfId="0" applyNumberFormat="1" applyFont="1" applyAlignment="1">
      <x:alignment wrapText="1"/>
    </x:xf>
    <x:xf numFmtId="164" fontId="19" fillId="0" borderId="0" xfId="0" applyNumberFormat="1" applyFont="1" applyAlignment="1">
      <x:alignment horizontal="center" wrapText="1"/>
    </x:xf>
    <x:xf numFmtId="0" fontId="9" fillId="4" borderId="36" xfId="0" applyFont="1" applyFill="1" applyBorder="1" applyAlignment="1">
      <x:alignment horizontal="center" vertical="center" wrapText="1"/>
    </x:xf>
    <x:xf numFmtId="0" fontId="9" fillId="4" borderId="37" xfId="0" applyFont="1" applyFill="1" applyBorder="1" applyAlignment="1">
      <x:alignment horizontal="center" vertical="center" wrapText="1"/>
    </x:xf>
    <x:xf numFmtId="165" fontId="15" fillId="0" borderId="21" xfId="0" applyNumberFormat="1" applyFont="1" applyBorder="1" applyAlignment="1">
      <x:alignment wrapText="1"/>
    </x:xf>
    <x:xf numFmtId="0" fontId="6" fillId="10" borderId="38" xfId="0" applyFont="1" applyFill="1" applyBorder="1" applyAlignment="1">
      <x:alignment wrapText="1"/>
    </x:xf>
    <x:xf numFmtId="164" fontId="9" fillId="10" borderId="39" xfId="0" applyNumberFormat="1" applyFont="1" applyFill="1" applyBorder="1" applyAlignment="1">
      <x:alignment wrapText="1"/>
    </x:xf>
    <x:xf numFmtId="164" fontId="9" fillId="10" borderId="40" xfId="0" applyNumberFormat="1" applyFont="1" applyFill="1" applyBorder="1" applyAlignment="1">
      <x:alignment wrapText="1"/>
    </x:xf>
    <x:xf numFmtId="0" fontId="3" fillId="0" borderId="41" xfId="0" applyFont="1" applyBorder="1" applyAlignment="1">
      <x:alignment wrapText="1"/>
    </x:xf>
    <x:xf numFmtId="164" fontId="3" fillId="0" borderId="42" xfId="0" applyNumberFormat="1" applyFont="1" applyBorder="1" applyAlignment="1">
      <x:alignment horizontal="right" wrapText="1"/>
    </x:xf>
    <x:xf numFmtId="165" fontId="3" fillId="0" borderId="0" xfId="0" applyNumberFormat="1" applyFont="1" applyAlignment="1">
      <x:alignment wrapText="1"/>
    </x:xf>
    <x:xf numFmtId="164" fontId="18" fillId="0" borderId="0" xfId="0" applyNumberFormat="1" applyFont="1" applyAlignment="1">
      <x:alignment wrapText="1"/>
    </x:xf>
    <x:xf numFmtId="0" fontId="3" fillId="0" borderId="43" xfId="0" applyFont="1" applyBorder="1" applyAlignment="1">
      <x:alignment wrapText="1"/>
    </x:xf>
    <x:xf numFmtId="164" fontId="3" fillId="0" borderId="44" xfId="0" applyNumberFormat="1" applyFont="1" applyBorder="1" applyAlignment="1">
      <x:alignment horizontal="right" wrapText="1"/>
    </x:xf>
    <x:xf numFmtId="0" fontId="6" fillId="13" borderId="45" xfId="0" applyFont="1" applyFill="1" applyBorder="1" applyAlignment="1">
      <x:alignment wrapText="1"/>
    </x:xf>
    <x:xf numFmtId="164" fontId="9" fillId="13" borderId="28" xfId="0" applyNumberFormat="1" applyFont="1" applyFill="1" applyBorder="1" applyAlignment="1">
      <x:alignment wrapText="1"/>
    </x:xf>
    <x:xf numFmtId="164" fontId="9" fillId="13" borderId="29" xfId="0" applyNumberFormat="1" applyFont="1" applyFill="1" applyBorder="1" applyAlignment="1">
      <x:alignment wrapText="1"/>
    </x:xf>
    <x:xf numFmtId="0" fontId="3" fillId="0" borderId="46" xfId="0" applyFont="1" applyBorder="1" applyAlignment="1">
      <x:alignment wrapText="1"/>
    </x:xf>
    <x:xf numFmtId="164" fontId="10" fillId="0" borderId="46" xfId="0" applyNumberFormat="1" applyFont="1" applyBorder="1" applyAlignment="1">
      <x:alignment horizontal="right" wrapText="1"/>
    </x:xf>
    <x:xf numFmtId="0" fontId="9" fillId="4" borderId="0" xfId="0" applyFont="1" applyFill="1" applyAlignment="1">
      <x:alignment horizontal="center" vertical="center" wrapText="1"/>
    </x:xf>
    <x:xf numFmtId="0" fontId="6" fillId="15" borderId="25" xfId="0" applyFont="1" applyFill="1" applyBorder="1" applyAlignment="1">
      <x:alignment horizontal="center" vertical="center" wrapText="1"/>
    </x:xf>
    <x:xf numFmtId="0" fontId="6" fillId="15" borderId="7" xfId="0" applyFont="1" applyFill="1" applyBorder="1" applyAlignment="1">
      <x:alignment horizontal="left" wrapText="1"/>
    </x:xf>
    <x:xf numFmtId="164" fontId="20" fillId="15" borderId="21" xfId="0" applyNumberFormat="1" applyFont="1" applyFill="1" applyBorder="1" applyAlignment="1">
      <x:alignment horizontal="right" wrapText="1"/>
    </x:xf>
    <x:xf numFmtId="164" fontId="3" fillId="0" borderId="0" xfId="0" applyNumberFormat="1" applyFont="1" applyAlignment="1">
      <x:alignment wrapText="1"/>
    </x:xf>
    <x:xf numFmtId="0" fontId="11" fillId="0" borderId="47" xfId="0" applyFont="1" applyBorder="1"/>
    <x:xf numFmtId="0" fontId="3" fillId="0" borderId="7" xfId="0" applyFont="1" applyBorder="1" applyAlignment="1">
      <x:alignment horizontal="left" wrapText="1"/>
    </x:xf>
    <x:xf numFmtId="164" fontId="21" fillId="0" borderId="21" xfId="0" applyNumberFormat="1" applyFont="1" applyBorder="1" applyAlignment="1">
      <x:alignment horizontal="right" wrapText="1"/>
    </x:xf>
    <x:xf numFmtId="0" fontId="3" fillId="0" borderId="7" xfId="0" applyFont="1" applyBorder="1" applyAlignment="1">
      <x:alignment wrapText="1"/>
    </x:xf>
    <x:xf numFmtId="164" fontId="22" fillId="0" borderId="21" xfId="0" applyNumberFormat="1" applyFont="1" applyBorder="1" applyAlignment="1">
      <x:alignment horizontal="right" vertical="center" wrapText="1"/>
    </x:xf>
    <x:xf numFmtId="164" fontId="23" fillId="0" borderId="21" xfId="0" applyNumberFormat="1" applyFont="1" applyBorder="1" applyAlignment="1">
      <x:alignment horizontal="right" wrapText="1"/>
    </x:xf>
    <x:xf numFmtId="164" fontId="23" fillId="0" borderId="21" xfId="0" applyNumberFormat="1" applyFont="1" applyBorder="1" applyAlignment="1">
      <x:alignment horizontal="right" vertical="center" wrapText="1"/>
    </x:xf>
    <x:xf numFmtId="0" fontId="11" fillId="0" borderId="15" xfId="0" applyFont="1" applyBorder="1"/>
    <x:xf numFmtId="0" fontId="6" fillId="13" borderId="48" xfId="0" applyFont="1" applyFill="1" applyBorder="1" applyAlignment="1">
      <x:alignment horizontal="left" wrapText="1"/>
    </x:xf>
    <x:xf numFmtId="0" fontId="11" fillId="0" borderId="49" xfId="0" applyFont="1" applyBorder="1"/>
    <x:xf numFmtId="0" fontId="11" fillId="0" borderId="16" xfId="0" applyFont="1" applyBorder="1"/>
    <x:xf numFmtId="164" fontId="9" fillId="13" borderId="15" xfId="0" applyNumberFormat="1" applyFont="1" applyFill="1" applyBorder="1" applyAlignment="1">
      <x:alignment horizontal="right" wrapText="1"/>
    </x:xf>
    <x:xf numFmtId="0" fontId="6" fillId="0" borderId="0" xfId="0" applyFont="1" applyAlignment="1">
      <x:alignment horizontal="left" wrapText="1"/>
    </x:xf>
    <x:xf numFmtId="164" fontId="6" fillId="0" borderId="0" xfId="0" applyNumberFormat="1" applyFont="1" applyAlignment="1">
      <x:alignment horizontal="right" wrapText="1"/>
    </x:xf>
    <x:xf numFmtId="164" fontId="24" fillId="0" borderId="21" xfId="0" applyNumberFormat="1" applyFont="1" applyBorder="1" applyAlignment="1">
      <x:alignment horizontal="right" vertical="center" wrapText="1"/>
    </x:xf>
    <x:xf numFmtId="164" fontId="18" fillId="0" borderId="21" xfId="0" applyNumberFormat="1" applyFont="1" applyBorder="1" applyAlignment="1">
      <x:alignment horizontal="right" wrapText="1"/>
    </x:xf>
    <x:xf numFmtId="164" fontId="3" fillId="0" borderId="21" xfId="0" applyNumberFormat="1" applyFont="1" applyBorder="1" applyAlignment="1">
      <x:alignment horizontal="right" wrapText="1"/>
    </x:xf>
    <x:xf numFmtId="0" fontId="6" fillId="13" borderId="7" xfId="0" applyFont="1" applyFill="1" applyBorder="1" applyAlignment="1">
      <x:alignment horizontal="left" wrapText="1"/>
    </x:xf>
    <x:xf numFmtId="164" fontId="9" fillId="13" borderId="21" xfId="0" applyNumberFormat="1" applyFont="1" applyFill="1" applyBorder="1" applyAlignment="1">
      <x:alignment horizontal="right" wrapText="1"/>
    </x:xf>
    <x:xf numFmtId="0" fontId="3" fillId="0" borderId="0" xfId="0" applyFont="1" applyAlignment="1">
      <x:alignment horizontal="left" wrapText="1"/>
    </x:xf>
    <x:xf numFmtId="3" fontId="3" fillId="0" borderId="0" xfId="0" applyNumberFormat="1" applyFont="1"/>
    <x:xf numFmtId="164" fontId="25" fillId="0" borderId="0" xfId="0" applyNumberFormat="1" applyFont="1"/>
    <x:xf numFmtId="0" fontId="26" fillId="15" borderId="0" xfId="0" applyFont="1" applyFill="1" applyAlignment="1">
      <x:alignment wrapText="1"/>
    </x:xf>
    <x:xf numFmtId="0" fontId="7" fillId="5" borderId="0" xfId="0" applyFont="1" applyFill="1" applyAlignment="1">
      <x:alignment horizontal="center" vertical="center" wrapText="1"/>
    </x:xf>
    <x:xf numFmtId="0" fontId="9" fillId="7" borderId="50" xfId="0" applyFont="1" applyFill="1" applyBorder="1" applyAlignment="1">
      <x:alignment wrapText="1"/>
    </x:xf>
    <x:xf numFmtId="0" fontId="11" fillId="0" borderId="50" xfId="0" applyFont="1" applyBorder="1"/>
    <x:xf numFmtId="164" fontId="9" fillId="7" borderId="50" xfId="0" applyNumberFormat="1" applyFont="1" applyFill="1" applyBorder="1" applyAlignment="1">
      <x:alignment wrapText="1"/>
    </x:xf>
    <x:xf numFmtId="0" fontId="9" fillId="16" borderId="50" xfId="0" applyFont="1" applyFill="1" applyBorder="1" applyAlignment="1">
      <x:alignment wrapText="1"/>
    </x:xf>
    <x:xf numFmtId="164" fontId="9" fillId="16" borderId="5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 applyAlignment="1">
      <x:alignment horizontal="left" wrapText="1"/>
    </x:xf>
    <x:xf numFmtId="164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165" fontId="8" fillId="0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wrapText="1"/>
    </x:xf>
    <x:xf numFmtId="164" fontId="10" fillId="8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center" wrapText="1"/>
    </x:xf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6" fillId="0" borderId="0" xfId="0" applyNumberFormat="1" applyFont="1" applyFill="1" applyBorder="1" applyAlignment="1">
      <x:alignment horizontal="center" wrapText="1"/>
    </x:xf>
    <x:xf numFmtId="164" fontId="6" fillId="0" borderId="0" xfId="0" applyNumberFormat="1" applyFont="1" applyFill="1" applyBorder="1" applyAlignment="1">
      <x:alignment horizontal="center" wrapText="1"/>
    </x:xf>
    <x:xf numFmtId="164" fontId="10" fillId="0" borderId="0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11" fillId="0" borderId="5" xfId="0" applyNumberFormat="1" applyFont="1" applyFill="1" applyBorder="1"/>
    <x:xf numFmtId="0" fontId="7" fillId="2" borderId="4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/>
    <x:xf numFmtId="166" fontId="0" fillId="0" borderId="0" xfId="0" applyNumberFormat="1" applyFont="1" applyFill="1" applyBorder="1" applyAlignment="1">
      <x:alignment wrapText="1"/>
    </x:xf>
    <x:xf numFmtId="0" fontId="12" fillId="5" borderId="7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3" fillId="0" borderId="10" xfId="0" applyNumberFormat="1" applyFont="1" applyFill="1" applyBorder="1" applyAlignment="1">
      <x:alignment horizontal="center" wrapText="1"/>
    </x:xf>
    <x:xf numFmtId="0" fontId="13" fillId="0" borderId="11" xfId="0" applyNumberFormat="1" applyFont="1" applyFill="1" applyBorder="1" applyAlignment="1">
      <x:alignment horizontal="center" wrapText="1"/>
    </x:xf>
    <x:xf numFmtId="0" fontId="13" fillId="0" borderId="12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 applyAlignment="1">
      <x:alignment horizontal="center" wrapText="1"/>
    </x:xf>
    <x:xf numFmtId="164" fontId="13" fillId="0" borderId="0" xfId="0" applyNumberFormat="1" applyFont="1" applyFill="1" applyBorder="1" applyAlignment="1">
      <x:alignment horizontal="center" wrapText="1"/>
    </x:xf>
    <x:xf numFmtId="0" fontId="9" fillId="7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164" fontId="8" fillId="0" borderId="15" xfId="0" applyNumberFormat="1" applyFont="1" applyFill="1" applyBorder="1" applyAlignment="1">
      <x:alignment wrapText="1"/>
    </x:xf>
    <x:xf numFmtId="0" fontId="14" fillId="7" borderId="15" xfId="0" applyNumberFormat="1" applyFont="1" applyFill="1" applyBorder="1" applyAlignment="1">
      <x:alignment horizontal="center" vertical="center" wrapText="1"/>
    </x:xf>
    <x:xf numFmtId="0" fontId="14" fillId="7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wrapText="1"/>
    </x:xf>
    <x:xf numFmtId="164" fontId="8" fillId="0" borderId="18" xfId="0" applyNumberFormat="1" applyFont="1" applyFill="1" applyBorder="1" applyAlignment="1">
      <x:alignment wrapText="1"/>
    </x:xf>
    <x:xf numFmtId="167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9" fillId="7" borderId="19" xfId="0" applyNumberFormat="1" applyFont="1" applyFill="1" applyBorder="1" applyAlignment="1">
      <x:alignment wrapText="1"/>
    </x:xf>
    <x:xf numFmtId="168" fontId="1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164" fontId="10" fillId="0" borderId="21" xfId="0" applyNumberFormat="1" applyFont="1" applyFill="1" applyBorder="1" applyAlignment="1">
      <x:alignment wrapText="1"/>
    </x:xf>
    <x:xf numFmtId="0" fontId="15" fillId="0" borderId="21" xfId="0" applyNumberFormat="1" applyFont="1" applyFill="1" applyBorder="1" applyAlignment="1">
      <x:alignment wrapText="1"/>
    </x:xf>
    <x:xf numFmtId="164" fontId="15" fillId="0" borderId="21" xfId="0" applyNumberFormat="1" applyFont="1" applyFill="1" applyBorder="1" applyAlignment="1">
      <x:alignment wrapText="1"/>
    </x:xf>
    <x:xf numFmtId="164" fontId="16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horizontal="center" wrapText="1"/>
    </x:xf>
    <x:xf numFmtId="164" fontId="8" fillId="0" borderId="21" xfId="0" applyNumberFormat="1" applyFont="1" applyFill="1" applyBorder="1" applyAlignment="1">
      <x:alignment wrapText="1"/>
    </x:xf>
    <x:xf numFmtId="164" fontId="8" fillId="0" borderId="23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166" fontId="0" fillId="0" borderId="20" xfId="0" applyNumberFormat="1" applyFont="1" applyFill="1" applyBorder="1" applyAlignment="1">
      <x:alignment wrapText="1"/>
    </x:xf>
    <x:xf numFmtId="166" fontId="10" fillId="0" borderId="21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164" fontId="15" fillId="0" borderId="0" xfId="0" applyNumberFormat="1" applyFont="1" applyFill="1" applyBorder="1" applyAlignment="1">
      <x:alignment wrapText="1"/>
    </x:xf>
    <x:xf numFmtId="164" fontId="16" fillId="0" borderId="0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164" fontId="8" fillId="0" borderId="25" xfId="0" applyNumberFormat="1" applyFont="1" applyFill="1" applyBorder="1" applyAlignment="1">
      <x:alignment wrapText="1"/>
    </x:xf>
    <x:xf numFmtId="164" fontId="8" fillId="0" borderId="26" xfId="0" applyNumberFormat="1" applyFont="1" applyFill="1" applyBorder="1" applyAlignment="1">
      <x:alignment wrapText="1"/>
    </x:xf>
    <x:xf numFmtId="164" fontId="10" fillId="0" borderId="25" xfId="0" applyNumberFormat="1" applyFont="1" applyFill="1" applyBorder="1" applyAlignment="1">
      <x:alignment wrapText="1"/>
    </x:xf>
    <x:xf numFmtId="164" fontId="10" fillId="0" borderId="26" xfId="0" applyNumberFormat="1" applyFont="1" applyFill="1" applyBorder="1" applyAlignment="1">
      <x:alignment wrapText="1"/>
    </x:xf>
    <x:xf numFmtId="164" fontId="9" fillId="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wrapText="1"/>
    </x:xf>
    <x:xf numFmtId="164" fontId="8" fillId="0" borderId="20" xfId="0" applyNumberFormat="1" applyFont="1" applyFill="1" applyBorder="1" applyAlignment="1">
      <x:alignment wrapText="1"/>
    </x:xf>
    <x:xf numFmtId="164" fontId="9" fillId="10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wrapText="1"/>
    </x:xf>
    <x:xf numFmtId="164" fontId="17" fillId="0" borderId="21" xfId="0" applyNumberFormat="1" applyFont="1" applyFill="1" applyBorder="1" applyAlignment="1">
      <x:alignment horizontal="right" wrapText="1"/>
    </x:xf>
    <x:xf numFmtId="164" fontId="15" fillId="0" borderId="0" xfId="0" applyNumberFormat="1" applyFont="1" applyFill="1" applyBorder="1" applyAlignment="1">
      <x:alignment horizontal="right" wrapText="1"/>
    </x:xf>
    <x:xf numFmtId="0" fontId="0" fillId="11" borderId="27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164" fontId="9" fillId="12" borderId="0" xfId="0" applyNumberFormat="1" applyFont="1" applyFill="1" applyBorder="1" applyAlignment="1">
      <x:alignment wrapText="1"/>
    </x:xf>
    <x:xf numFmtId="0" fontId="0" fillId="9" borderId="19" xfId="0" applyNumberFormat="1" applyFont="1" applyFill="1" applyBorder="1" applyAlignment="1">
      <x:alignment horizontal="center" wrapText="1"/>
    </x:xf>
    <x:xf numFmtId="164" fontId="16" fillId="0" borderId="21" xfId="0" applyNumberFormat="1" applyFont="1" applyFill="1" applyBorder="1" applyAlignment="1">
      <x:alignment horizontal="right" wrapText="1"/>
    </x:xf>
    <x:xf numFmtId="0" fontId="0" fillId="0" borderId="19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wrapText="1"/>
    </x:xf>
    <x:xf numFmtId="168" fontId="10" fillId="0" borderId="21" xfId="0" applyNumberFormat="1" applyFont="1" applyFill="1" applyBorder="1" applyAlignment="1">
      <x:alignment horizontal="center" wrapText="1"/>
    </x:xf>
    <x:xf numFmtId="164" fontId="9" fillId="13" borderId="0" xfId="0" applyNumberFormat="1" applyFont="1" applyFill="1" applyBorder="1" applyAlignment="1">
      <x:alignment wrapText="1"/>
    </x:xf>
    <x:xf numFmtId="9" fontId="0" fillId="0" borderId="0" xfId="0" applyNumberFormat="1" applyFont="1" applyFill="1" applyBorder="1" applyAlignment="1">
      <x:alignment wrapText="1"/>
    </x:xf>
    <x:xf numFmtId="0" fontId="15" fillId="0" borderId="30" xfId="0" applyNumberFormat="1" applyFont="1" applyFill="1" applyBorder="1" applyAlignment="1">
      <x:alignment wrapText="1"/>
    </x:xf>
    <x:xf numFmtId="0" fontId="6" fillId="14" borderId="17" xfId="0" applyNumberFormat="1" applyFont="1" applyFill="1" applyBorder="1" applyAlignment="1">
      <x:alignment horizontal="center" wrapText="1"/>
    </x:xf>
    <x:xf numFmtId="0" fontId="11" fillId="0" borderId="31" xfId="0" applyNumberFormat="1" applyFont="1" applyFill="1" applyBorder="1"/>
    <x:xf numFmtId="0" fontId="11" fillId="0" borderId="32" xfId="0" applyNumberFormat="1" applyFont="1" applyFill="1" applyBorder="1"/>
    <x:xf numFmtId="168" fontId="8" fillId="0" borderId="0" xfId="0" applyNumberFormat="1" applyFont="1" applyFill="1" applyBorder="1" applyAlignment="1">
      <x:alignment wrapText="1"/>
    </x:xf>
    <x:xf numFmtId="169" fontId="0" fillId="0" borderId="0" xfId="0" applyNumberFormat="1" applyFont="1" applyFill="1" applyBorder="1" applyAlignment="1">
      <x:alignment wrapText="1"/>
    </x:xf>
    <x:xf numFmtId="4" fontId="8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164" fontId="9" fillId="7" borderId="0" xfId="0" applyNumberFormat="1" applyFont="1" applyFill="1" applyBorder="1" applyAlignment="1">
      <x:alignment wrapText="1"/>
    </x:xf>
    <x:xf numFmtId="164" fontId="10" fillId="0" borderId="21" xfId="0" applyNumberFormat="1" applyFont="1" applyFill="1" applyBorder="1" applyAlignment="1">
      <x:alignment horizontal="center" wrapText="1"/>
    </x:xf>
    <x:xf numFmtId="0" fontId="0" fillId="0" borderId="33" xfId="0" applyNumberFormat="1" applyFont="1" applyFill="1" applyBorder="1" applyAlignment="1">
      <x:alignment horizontal="center" wrapText="1"/>
    </x:xf>
    <x:xf numFmtId="9" fontId="8" fillId="0" borderId="21" xfId="0" applyNumberFormat="1" applyFont="1" applyFill="1" applyBorder="1" applyAlignment="1">
      <x:alignment horizontal="center" wrapText="1"/>
    </x:xf>
    <x:xf numFmtId="0" fontId="12" fillId="2" borderId="7" xfId="0" applyNumberFormat="1" applyFont="1" applyFill="1" applyBorder="1" applyAlignment="1">
      <x:alignment horizontal="center" vertical="center" wrapText="1"/>
    </x:xf>
    <x:xf numFmtId="164" fontId="18" fillId="0" borderId="21" xfId="0" applyNumberFormat="1" applyFont="1" applyFill="1" applyBorder="1" applyAlignment="1">
      <x:alignment wrapText="1"/>
    </x:xf>
    <x:xf numFmtId="164" fontId="18" fillId="0" borderId="2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horizontal="center" wrapText="1"/>
    </x:xf>
    <x:xf numFmtId="166" fontId="0" fillId="0" borderId="35" xfId="0" applyNumberFormat="1" applyFont="1" applyFill="1" applyBorder="1" applyAlignment="1">
      <x:alignment wrapText="1"/>
    </x:xf>
    <x:xf numFmtId="0" fontId="14" fillId="4" borderId="15" xfId="0" applyNumberFormat="1" applyFont="1" applyFill="1" applyBorder="1" applyAlignment="1">
      <x:alignment horizontal="center" vertical="center" wrapText="1"/>
    </x:xf>
    <x:xf numFmtId="0" fontId="14" fillId="4" borderId="16" xfId="0" applyNumberFormat="1" applyFont="1" applyFill="1" applyBorder="1" applyAlignment="1">
      <x:alignment horizontal="center" vertical="center" wrapText="1"/>
    </x:xf>
    <x:xf numFmtId="165" fontId="15" fillId="0" borderId="21" xfId="0" applyNumberFormat="1" applyFont="1" applyFill="1" applyBorder="1" applyAlignment="1">
      <x:alignment horizontal="right" wrapText="1"/>
    </x:xf>
    <x:xf numFmtId="165" fontId="15" fillId="0" borderId="0" xfId="0" applyNumberFormat="1" applyFont="1" applyFill="1" applyBorder="1" applyAlignment="1">
      <x:alignment wrapText="1"/>
    </x:xf>
    <x:xf numFmtId="164" fontId="19" fillId="0" borderId="0" xfId="0" applyNumberFormat="1" applyFont="1" applyFill="1" applyBorder="1" applyAlignment="1">
      <x:alignment horizontal="center" wrapText="1"/>
    </x:xf>
    <x:xf numFmtId="0" fontId="9" fillId="4" borderId="36" xfId="0" applyNumberFormat="1" applyFont="1" applyFill="1" applyBorder="1" applyAlignment="1">
      <x:alignment horizontal="center" vertical="center" wrapText="1"/>
    </x:xf>
    <x:xf numFmtId="0" fontId="9" fillId="4" borderId="37" xfId="0" applyNumberFormat="1" applyFont="1" applyFill="1" applyBorder="1" applyAlignment="1">
      <x:alignment horizontal="center" vertical="center" wrapText="1"/>
    </x:xf>
    <x:xf numFmtId="165" fontId="15" fillId="0" borderId="21" xfId="0" applyNumberFormat="1" applyFont="1" applyFill="1" applyBorder="1" applyAlignment="1">
      <x:alignment wrapText="1"/>
    </x:xf>
    <x:xf numFmtId="0" fontId="6" fillId="10" borderId="38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164" fontId="0" fillId="0" borderId="42" xfId="0" applyNumberFormat="1" applyFont="1" applyFill="1" applyBorder="1" applyAlignment="1">
      <x:alignment horizontal="right" wrapText="1"/>
    </x:xf>
    <x:xf numFmtId="165" fontId="0" fillId="0" borderId="0" xfId="0" applyNumberFormat="1" applyFont="1" applyFill="1" applyBorder="1" applyAlignment="1">
      <x:alignment wrapText="1"/>
    </x:xf>
    <x:xf numFmtId="164" fontId="18" fillId="0" borderId="0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164" fontId="0" fillId="0" borderId="44" xfId="0" applyNumberFormat="1" applyFont="1" applyFill="1" applyBorder="1" applyAlignment="1">
      <x:alignment horizontal="right" wrapText="1"/>
    </x:xf>
    <x:xf numFmtId="0" fontId="6" fillId="13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164" fontId="10" fillId="0" borderId="46" xfId="0" applyNumberFormat="1" applyFont="1" applyFill="1" applyBorder="1" applyAlignment="1">
      <x:alignment horizontal="right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6" fillId="15" borderId="25" xfId="0" applyNumberFormat="1" applyFont="1" applyFill="1" applyBorder="1" applyAlignment="1">
      <x:alignment horizontal="center" vertical="center" wrapText="1"/>
    </x:xf>
    <x:xf numFmtId="0" fontId="6" fillId="15" borderId="7" xfId="0" applyNumberFormat="1" applyFont="1" applyFill="1" applyBorder="1" applyAlignment="1">
      <x:alignment horizontal="left" wrapText="1"/>
    </x:xf>
    <x:xf numFmtId="0" fontId="11" fillId="0" borderId="47" xfId="0" applyNumberFormat="1" applyFont="1" applyFill="1" applyBorder="1"/>
    <x:xf numFmtId="0" fontId="0" fillId="0" borderId="7" xfId="0" applyNumberFormat="1" applyFont="1" applyFill="1" applyBorder="1" applyAlignment="1">
      <x:alignment horizontal="left" wrapText="1"/>
    </x:xf>
    <x:xf numFmtId="164" fontId="21" fillId="0" borderId="21" xfId="0" applyNumberFormat="1" applyFont="1" applyFill="1" applyBorder="1" applyAlignment="1">
      <x:alignment horizontal="right" wrapText="1"/>
    </x:xf>
    <x:xf numFmtId="0" fontId="0" fillId="0" borderId="7" xfId="0" applyNumberFormat="1" applyFont="1" applyFill="1" applyBorder="1" applyAlignment="1">
      <x:alignment wrapText="1"/>
    </x:xf>
    <x:xf numFmtId="164" fontId="22" fillId="0" borderId="21" xfId="0" applyNumberFormat="1" applyFont="1" applyFill="1" applyBorder="1" applyAlignment="1">
      <x:alignment horizontal="right" vertical="center" wrapText="1"/>
    </x:xf>
    <x:xf numFmtId="164" fontId="23" fillId="0" borderId="21" xfId="0" applyNumberFormat="1" applyFont="1" applyFill="1" applyBorder="1" applyAlignment="1">
      <x:alignment horizontal="right" wrapText="1"/>
    </x:xf>
    <x:xf numFmtId="164" fontId="23" fillId="0" borderId="21" xfId="0" applyNumberFormat="1" applyFont="1" applyFill="1" applyBorder="1" applyAlignment="1">
      <x:alignment horizontal="right" vertical="center" wrapText="1"/>
    </x:xf>
    <x:xf numFmtId="0" fontId="11" fillId="0" borderId="15" xfId="0" applyNumberFormat="1" applyFont="1" applyFill="1" applyBorder="1"/>
    <x:xf numFmtId="0" fontId="6" fillId="13" borderId="48" xfId="0" applyNumberFormat="1" applyFont="1" applyFill="1" applyBorder="1" applyAlignment="1">
      <x:alignment horizontal="left" wrapText="1"/>
    </x:xf>
    <x:xf numFmtId="0" fontId="11" fillId="0" borderId="49" xfId="0" applyNumberFormat="1" applyFont="1" applyFill="1" applyBorder="1"/>
    <x:xf numFmtId="0" fontId="11" fillId="0" borderId="16" xfId="0" applyNumberFormat="1" applyFont="1" applyFill="1" applyBorder="1"/>
    <x:xf numFmtId="0" fontId="6" fillId="0" borderId="0" xfId="0" applyNumberFormat="1" applyFont="1" applyFill="1" applyBorder="1" applyAlignment="1">
      <x:alignment horizontal="left" wrapText="1"/>
    </x:xf>
    <x:xf numFmtId="164" fontId="6" fillId="0" borderId="0" xfId="0" applyNumberFormat="1" applyFont="1" applyFill="1" applyBorder="1" applyAlignment="1">
      <x:alignment horizontal="right" wrapText="1"/>
    </x:xf>
    <x:xf numFmtId="164" fontId="24" fillId="0" borderId="21" xfId="0" applyNumberFormat="1" applyFont="1" applyFill="1" applyBorder="1" applyAlignment="1">
      <x:alignment horizontal="right" vertical="center" wrapText="1"/>
    </x:xf>
    <x:xf numFmtId="164" fontId="18" fillId="0" borderId="21" xfId="0" applyNumberFormat="1" applyFont="1" applyFill="1" applyBorder="1" applyAlignment="1">
      <x:alignment horizontal="right" wrapText="1"/>
    </x:xf>
    <x:xf numFmtId="164" fontId="0" fillId="0" borderId="21" xfId="0" applyNumberFormat="1" applyFont="1" applyFill="1" applyBorder="1" applyAlignment="1">
      <x:alignment horizontal="right" wrapText="1"/>
    </x:xf>
    <x:xf numFmtId="0" fontId="6" fillId="13" borderId="7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wrapText="1"/>
    </x:xf>
    <x:xf numFmtId="3" fontId="0" fillId="0" borderId="0" xfId="0" applyNumberFormat="1" applyFont="1" applyFill="1" applyBorder="1"/>
    <x:xf numFmtId="164" fontId="25" fillId="0" borderId="0" xfId="0" applyNumberFormat="1" applyFont="1" applyFill="1" applyBorder="1"/>
    <x:xf numFmtId="0" fontId="26" fillId="1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9" fillId="7" borderId="50" xfId="0" applyNumberFormat="1" applyFont="1" applyFill="1" applyBorder="1" applyAlignment="1">
      <x:alignment wrapText="1"/>
    </x:xf>
    <x:xf numFmtId="0" fontId="11" fillId="0" borderId="50" xfId="0" applyNumberFormat="1" applyFont="1" applyFill="1" applyBorder="1"/>
    <x:xf numFmtId="0" fontId="9" fillId="16" borderId="50" xfId="0" applyNumberFormat="1" applyFont="1" applyFill="1" applyBorder="1" applyAlignment="1">
      <x:alignment wrapText="1"/>
    </x:xf>
    <x:xf numFmtId="165" fontId="8" fillId="0" borderId="15" xfId="0" applyNumberFormat="1" applyFont="1" applyFill="1" applyBorder="1" applyAlignment="1">
      <x:alignment wrapText="1"/>
    </x:xf>
    <x:xf numFmtId="165" fontId="8" fillId="0" borderId="18" xfId="0" applyNumberFormat="1" applyFont="1" applyFill="1" applyBorder="1" applyAlignment="1">
      <x:alignment wrapText="1"/>
    </x:xf>
    <x:xf numFmtId="165" fontId="8" fillId="0" borderId="21" xfId="0" applyNumberFormat="1" applyFont="1" applyFill="1" applyBorder="1" applyAlignment="1">
      <x:alignment wrapText="1"/>
    </x:xf>
    <x:xf numFmtId="165" fontId="8" fillId="0" borderId="23" xfId="0" applyNumberFormat="1" applyFont="1" applyFill="1" applyBorder="1" applyAlignment="1">
      <x:alignment wrapText="1"/>
    </x:xf>
    <x:xf numFmtId="165" fontId="8" fillId="0" borderId="25" xfId="0" applyNumberFormat="1" applyFont="1" applyFill="1" applyBorder="1" applyAlignment="1">
      <x:alignment wrapText="1"/>
    </x:xf>
    <x:xf numFmtId="165" fontId="8" fillId="0" borderId="26" xfId="0" applyNumberFormat="1" applyFont="1" applyFill="1" applyBorder="1" applyAlignment="1">
      <x:alignment wrapText="1"/>
    </x:xf>
    <x:xf numFmtId="165" fontId="10" fillId="0" borderId="25" xfId="0" applyNumberFormat="1" applyFont="1" applyFill="1" applyBorder="1" applyAlignment="1">
      <x:alignment wrapText="1"/>
    </x:xf>
    <x:xf numFmtId="165" fontId="10" fillId="0" borderId="26" xfId="0" applyNumberFormat="1" applyFont="1" applyFill="1" applyBorder="1" applyAlignment="1">
      <x:alignment wrapText="1"/>
    </x:xf>
    <x:xf numFmtId="165" fontId="10" fillId="11" borderId="28" xfId="0" applyNumberFormat="1" applyFont="1" applyFill="1" applyBorder="1" applyAlignment="1">
      <x:alignment wrapText="1"/>
    </x:xf>
    <x:xf numFmtId="165" fontId="10" fillId="11" borderId="29" xfId="0" applyNumberFormat="1" applyFont="1" applyFill="1" applyBorder="1" applyAlignment="1">
      <x:alignment wrapText="1"/>
    </x:xf>
    <x:xf numFmtId="165" fontId="11" fillId="0" borderId="31" xfId="0" applyNumberFormat="1" applyFont="1" applyFill="1" applyBorder="1"/>
    <x:xf numFmtId="165" fontId="11" fillId="0" borderId="32" xfId="0" applyNumberFormat="1" applyFont="1" applyFill="1" applyBorder="1"/>
    <x:xf numFmtId="165" fontId="18" fillId="0" borderId="21" xfId="0" applyNumberFormat="1" applyFont="1" applyFill="1" applyBorder="1" applyAlignment="1">
      <x:alignment wrapText="1"/>
    </x:xf>
    <x:xf numFmtId="165" fontId="18" fillId="0" borderId="23" xfId="0" applyNumberFormat="1" applyFont="1" applyFill="1" applyBorder="1" applyAlignment="1">
      <x:alignment wrapText="1"/>
    </x:xf>
    <x:xf numFmtId="165" fontId="9" fillId="10" borderId="39" xfId="0" applyNumberFormat="1" applyFont="1" applyFill="1" applyBorder="1" applyAlignment="1">
      <x:alignment wrapText="1"/>
    </x:xf>
    <x:xf numFmtId="165" fontId="9" fillId="10" borderId="40" xfId="0" applyNumberFormat="1" applyFont="1" applyFill="1" applyBorder="1" applyAlignment="1">
      <x:alignment wrapText="1"/>
    </x:xf>
    <x:xf numFmtId="165" fontId="10" fillId="0" borderId="0" xfId="0" applyNumberFormat="1" applyFont="1" applyFill="1" applyBorder="1" applyAlignment="1">
      <x:alignment wrapText="1"/>
    </x:xf>
    <x:xf numFmtId="165" fontId="9" fillId="13" borderId="28" xfId="0" applyNumberFormat="1" applyFont="1" applyFill="1" applyBorder="1" applyAlignment="1">
      <x:alignment wrapText="1"/>
    </x:xf>
    <x:xf numFmtId="165" fontId="9" fillId="13" borderId="29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horizontal="center" wrapText="1"/>
    </x:xf>
    <x:xf numFmtId="165" fontId="19" fillId="0" borderId="0" xfId="0" applyNumberFormat="1" applyFont="1" applyFill="1" applyBorder="1" applyAlignment="1">
      <x:alignment horizontal="center" wrapText="1"/>
    </x:xf>
    <x:xf numFmtId="165" fontId="10" fillId="0" borderId="21" xfId="0" applyNumberFormat="1" applyFont="1" applyFill="1" applyBorder="1" applyAlignment="1">
      <x:alignment wrapText="1"/>
    </x:xf>
    <x:xf numFmtId="165" fontId="10" fillId="0" borderId="21" xfId="0" applyNumberFormat="1" applyFont="1" applyFill="1" applyBorder="1" applyAlignment="1">
      <x:alignment horizontal="center" wrapText="1"/>
    </x:xf>
    <x:xf numFmtId="165" fontId="16" fillId="0" borderId="21" xfId="0" applyNumberFormat="1" applyFont="1" applyFill="1" applyBorder="1" applyAlignment="1">
      <x:alignment wrapText="1"/>
    </x:xf>
    <x:xf numFmtId="165" fontId="16" fillId="0" borderId="0" xfId="0" applyNumberFormat="1" applyFont="1" applyFill="1" applyBorder="1" applyAlignment="1">
      <x:alignment wrapText="1"/>
    </x:xf>
    <x:xf numFmtId="165" fontId="20" fillId="15" borderId="21" xfId="0" applyNumberFormat="1" applyFont="1" applyFill="1" applyBorder="1" applyAlignment="1">
      <x:alignment horizontal="right" wrapText="1"/>
    </x:xf>
    <x:xf numFmtId="165" fontId="21" fillId="0" borderId="21" xfId="0" applyNumberFormat="1" applyFont="1" applyFill="1" applyBorder="1" applyAlignment="1">
      <x:alignment horizontal="right" wrapText="1"/>
    </x:xf>
    <x:xf numFmtId="165" fontId="22" fillId="0" borderId="21" xfId="0" applyNumberFormat="1" applyFont="1" applyFill="1" applyBorder="1" applyAlignment="1">
      <x:alignment horizontal="right" vertical="center" wrapText="1"/>
    </x:xf>
    <x:xf numFmtId="165" fontId="23" fillId="0" borderId="21" xfId="0" applyNumberFormat="1" applyFont="1" applyFill="1" applyBorder="1" applyAlignment="1">
      <x:alignment horizontal="right" wrapText="1"/>
    </x:xf>
    <x:xf numFmtId="165" fontId="23" fillId="0" borderId="21" xfId="0" applyNumberFormat="1" applyFont="1" applyFill="1" applyBorder="1" applyAlignment="1">
      <x:alignment horizontal="right" vertical="center" wrapText="1"/>
    </x:xf>
    <x:xf numFmtId="165" fontId="9" fillId="13" borderId="15" xfId="0" applyNumberFormat="1" applyFont="1" applyFill="1" applyBorder="1" applyAlignment="1">
      <x:alignment horizontal="right" wrapText="1"/>
    </x:xf>
    <x:xf numFmtId="165" fontId="6" fillId="0" borderId="0" xfId="0" applyNumberFormat="1" applyFont="1" applyFill="1" applyBorder="1" applyAlignment="1">
      <x:alignment horizontal="right" wrapText="1"/>
    </x:xf>
    <x:xf numFmtId="165" fontId="24" fillId="0" borderId="21" xfId="0" applyNumberFormat="1" applyFont="1" applyFill="1" applyBorder="1" applyAlignment="1">
      <x:alignment horizontal="right" vertical="center" wrapText="1"/>
    </x:xf>
    <x:xf numFmtId="165" fontId="18" fillId="0" borderId="21" xfId="0" applyNumberFormat="1" applyFont="1" applyFill="1" applyBorder="1" applyAlignment="1">
      <x:alignment horizontal="right" wrapText="1"/>
    </x:xf>
    <x:xf numFmtId="165" fontId="0" fillId="0" borderId="21" xfId="0" applyNumberFormat="1" applyFont="1" applyFill="1" applyBorder="1" applyAlignment="1">
      <x:alignment horizontal="right" wrapText="1"/>
    </x:xf>
    <x:xf numFmtId="165" fontId="9" fillId="13" borderId="21" xfId="0" applyNumberFormat="1" applyFont="1" applyFill="1" applyBorder="1" applyAlignment="1">
      <x:alignment horizontal="right" wrapText="1"/>
    </x:xf>
    <x:xf numFmtId="165" fontId="25" fillId="0" borderId="0" xfId="0" applyNumberFormat="1" applyFont="1" applyFill="1" applyBorder="1"/>
    <x:xf numFmtId="165" fontId="18" fillId="0" borderId="0" xfId="0" applyNumberFormat="1" applyFont="1" applyFill="1" applyBorder="1" applyAlignment="1">
      <x:alignment wrapText="1"/>
    </x:xf>
    <x:xf numFmtId="165" fontId="9" fillId="4" borderId="37" xfId="0" applyNumberFormat="1" applyFont="1" applyFill="1" applyBorder="1" applyAlignment="1">
      <x:alignment horizontal="center" vertical="center" wrapText="1"/>
    </x:xf>
    <x:xf numFmtId="165" fontId="0" fillId="0" borderId="42" xfId="0" applyNumberFormat="1" applyFont="1" applyFill="1" applyBorder="1" applyAlignment="1">
      <x:alignment horizontal="right" wrapText="1"/>
    </x:xf>
    <x:xf numFmtId="165" fontId="0" fillId="0" borderId="44" xfId="0" applyNumberFormat="1" applyFont="1" applyFill="1" applyBorder="1" applyAlignment="1">
      <x:alignment horizontal="right" wrapText="1"/>
    </x:xf>
    <x:xf numFmtId="165" fontId="10" fillId="0" borderId="46" xfId="0" applyNumberFormat="1" applyFont="1" applyFill="1" applyBorder="1" applyAlignment="1">
      <x:alignment horizontal="right" wrapText="1"/>
    </x:xf>
    <x:xf numFmtId="168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165" fontId="9" fillId="10" borderId="0" xfId="0" applyNumberFormat="1" applyFont="1" applyFill="1" applyBorder="1" applyAlignment="1">
      <x:alignment wrapText="1"/>
    </x:xf>
    <x:xf numFmtId="165" fontId="9" fillId="12" borderId="0" xfId="0" applyNumberFormat="1" applyFont="1" applyFill="1" applyBorder="1" applyAlignment="1">
      <x:alignment wrapText="1"/>
    </x:xf>
    <x:xf numFmtId="165" fontId="9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66534"/>
      </x:font>
      <x:fill>
        <x:patternFill>
          <x:bgColor rgb="FFDCFCE7"/>
        </x:patternFill>
      </x:fill>
      <x:border/>
    </x:dxf>
    <x:dxf>
      <x:font>
        <x:color rgb="FF92400E"/>
      </x:font>
      <x:fill>
        <x:patternFill>
          <x:bgColor rgb="FFFEF3C7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85510e6c9479e" /><Relationship Type="http://schemas.openxmlformats.org/officeDocument/2006/relationships/theme" Target="/xl/theme/theme1.xml" Id="R50407b43877a4a17" /><Relationship Type="http://schemas.openxmlformats.org/officeDocument/2006/relationships/sharedStrings" Target="/xl/sharedStrings.xml" Id="R7e6a75723a3f4566" /><Relationship Type="http://schemas.openxmlformats.org/officeDocument/2006/relationships/worksheet" Target="/xl/worksheets/sheet1.xml" Id="R9e73a01947b745fb" /><Relationship Type="http://schemas.openxmlformats.org/officeDocument/2006/relationships/worksheet" Target="/xl/worksheets/sheet2.xml" Id="Rc3c86a42c4aa4567" /><Relationship Type="http://schemas.openxmlformats.org/officeDocument/2006/relationships/worksheet" Target="/xl/worksheets/sheet3.xml" Id="Rb57adebe647a4d06" /><Relationship Type="http://schemas.openxmlformats.org/officeDocument/2006/relationships/worksheet" Target="/xl/worksheets/sheet4.xml" Id="R753abfa3214e4c0a" /><Relationship Type="http://schemas.openxmlformats.org/officeDocument/2006/relationships/worksheet" Target="/xl/worksheets/sheet5.xml" Id="R65440d6e1d2142b8" /><Relationship Type="http://schemas.openxmlformats.org/officeDocument/2006/relationships/worksheet" Target="/xl/worksheets/sheet6.xml" Id="Rb04c3554aa5e4780" /><Relationship Type="http://schemas.openxmlformats.org/officeDocument/2006/relationships/worksheet" Target="/xl/worksheets/sheet7.xml" Id="R363724028e0c47c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0.710000038146973" customWidth="1"/>
    <x:col min="2" max="2" width="34" customWidth="1"/>
    <x:col min="3" max="5" width="15" customWidth="1"/>
    <x:col min="6" max="6" width="28" customWidth="1"/>
    <x:col min="7" max="7" width="16" customWidth="1"/>
    <x:col min="9" max="14" width="18" customWidth="1"/>
    <x:col min="15" max="16" width="10.710000038146973" customWidth="1"/>
    <x:col min="17" max="17" width="24" customWidth="1"/>
    <x:col min="18" max="18" width="34" customWidth="1"/>
    <x:col min="19" max="20" width="18" customWidth="1"/>
    <x:col min="21" max="21" width="10" customWidth="1"/>
  </x:cols>
  <x:sheetData>
    <x:row r="1" ht="15" customHeight="1">
      <x:c r="B1" s="2" t="str">
        <x:v>FORMULARIO FLUJO DE CAJA — SIGNY (CLP) — PRESUPUESTO BAJO — SIN SUELDOS</x:v>
      </x:c>
    </x:row>
    <x:row r="2" ht="15" customHeight="1">
      <x:c r="B2" s="4" t="str">
        <x:v>Signy — Presupuesto de bajo costo. 4 integrantes sin sueldo; máximo uso de herramientas gratuitas y validación acotada. Todos los montos en CLP.</x:v>
      </x:c>
    </x:row>
    <x:row r="3" ht="33" customHeight="1">
      <x:c r="B3" s="5"/>
      <x:c r="C3" s="5"/>
      <x:c r="D3" s="5"/>
      <x:c r="E3" s="5"/>
      <x:c r="F3" s="5"/>
      <x:c r="G3" s="5"/>
      <x:c r="H3" s="5"/>
      <x:c r="I3" s="7" t="s">
        <x:v>0</x:v>
      </x:c>
      <x:c r="J3" s="8"/>
      <x:c r="K3" s="8"/>
      <x:c r="L3" s="8"/>
      <x:c r="M3" s="8"/>
      <x:c r="N3" s="8"/>
      <x:c r="O3" s="8"/>
      <x:c r="P3" s="3"/>
      <x:c r="Q3" s="3"/>
      <x:c r="R3" s="3"/>
      <x:c r="S3" s="3"/>
      <x:c r="T3" s="3"/>
      <x:c r="U3" s="3"/>
    </x:row>
    <x:row r="4" ht="26.25" customHeight="1">
      <x:c r="B4" s="12" t="s">
        <x:v>1</x:v>
      </x:c>
      <x:c r="H4" s="3"/>
      <x:c r="I4" s="13" t="s">
        <x:v>2</x:v>
      </x:c>
      <x:c r="J4" s="3" t="str">
        <x:v>Oficina de Inclusión Social para Personas con Discapacidad</x:v>
      </x:c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5" customHeight="1">
      <x:c r="B5" s="3"/>
      <x:c r="C5" s="15" t="s">
        <x:v>3</x:v>
      </x:c>
      <x:c r="D5" s="16"/>
      <x:c r="E5" s="17"/>
      <x:c r="F5" s="18"/>
      <x:c r="G5" s="19"/>
      <x:c r="H5" s="3"/>
      <x:c r="I5" s="21" t="s">
        <x:v>4</x:v>
      </x:c>
      <x:c r="J5" s="22" t="str">
        <x:v>Dirección de Desarrollo Comunitario (DIDECO) de Huechuraba</x:v>
      </x:c>
      <x:c r="K5" s="3"/>
      <x:c r="L5" s="23"/>
      <x:c r="M5" s="24"/>
      <x:c r="N5" s="18"/>
      <x:c r="O5" s="3"/>
      <x:c r="P5" s="3"/>
      <x:c r="Q5" s="26" t="s">
        <x:v>5</x:v>
      </x:c>
      <x:c r="R5" s="27"/>
      <x:c r="S5" s="27"/>
      <x:c r="T5" s="27"/>
      <x:c r="U5" s="28"/>
    </x:row>
    <x:row r="6" ht="39" customHeight="1">
      <x:c r="B6" s="3"/>
      <x:c r="C6" s="29" t="s">
        <x:v>6</x:v>
      </x:c>
      <x:c r="D6" s="30" t="s">
        <x:v>7</x:v>
      </x:c>
      <x:c r="E6" s="31" t="s">
        <x:v>8</x:v>
      </x:c>
      <x:c r="F6" s="32"/>
      <x:c r="G6" s="33"/>
      <x:c r="H6" s="3"/>
      <x:c r="I6" s="34" t="s">
        <x:v>9</x:v>
      </x:c>
      <x:c r="J6" s="35" t="str">
        <x:v>No monetario — vinculación con personas sordas para pruebas y validación</x:v>
      </x:c>
      <x:c r="K6" s="25"/>
      <x:c r="L6" s="36"/>
      <x:c r="M6" s="37"/>
      <x:c r="N6" s="3"/>
      <x:c r="O6" s="3"/>
      <x:c r="P6" s="3"/>
      <x:c r="Q6" s="38" t="s">
        <x:v>10</x:v>
      </x:c>
      <x:c r="R6" s="39" t="s">
        <x:v>11</x:v>
      </x:c>
      <x:c r="S6" s="39" t="s">
        <x:v>12</x:v>
      </x:c>
      <x:c r="T6" s="39" t="s">
        <x:v>13</x:v>
      </x:c>
      <x:c r="U6" s="39" t="s">
        <x:v>14</x:v>
      </x:c>
    </x:row>
    <x:row r="7" ht="15" customHeight="1">
      <x:c r="B7" s="40" t="s">
        <x:v>15</x:v>
      </x:c>
      <x:c r="C7" s="312" t="n">
        <x:v>0</x:v>
      </x:c>
      <x:c r="D7" s="312" t="n">
        <x:v>0</x:v>
      </x:c>
      <x:c r="E7" s="313" t="n">
        <x:v>0</x:v>
      </x:c>
      <x:c r="F7" s="42"/>
      <x:c r="G7" s="43"/>
      <x:c r="H7" s="3"/>
      <x:c r="I7" s="44" t="s">
        <x:v>16</x:v>
      </x:c>
      <x:c r="J7" s="45" t="n">
        <x:v>0</x:v>
      </x:c>
      <x:c r="K7" s="25" t="str">
        <x:v>CLP</x:v>
      </x:c>
      <x:c r="L7" s="46"/>
      <x:c r="M7" s="47"/>
      <x:c r="N7" s="3"/>
      <x:c r="O7" s="3"/>
      <x:c r="P7" s="3"/>
      <x:c r="Q7" s="48" t="str">
        <x:v>Fernanda Poblete</x:v>
      </x:c>
      <x:c r="R7" s="49" t="str">
        <x:v>Product Owner / Gestión de Proyectos</x:v>
      </x:c>
      <x:c r="S7" s="273" t="n">
        <x:v>0</x:v>
      </x:c>
      <x:c r="T7" s="335" t="n">
        <x:v>0</x:v>
      </x:c>
      <x:c r="U7" s="48" t="str">
        <x:v>/H</x:v>
      </x:c>
    </x:row>
    <x:row r="8" ht="26.25" customHeight="1">
      <x:c r="B8" s="52" t="s">
        <x:v>17</x:v>
      </x:c>
      <x:c r="C8" s="314" t="n">
        <x:v>0</x:v>
      </x:c>
      <x:c r="D8" s="314" t="n">
        <x:v>0</x:v>
      </x:c>
      <x:c r="E8" s="315" t="n">
        <x:v>0</x:v>
      </x:c>
      <x:c r="F8" s="42"/>
      <x:c r="G8" s="43"/>
      <x:c r="H8" s="3"/>
      <x:c r="I8" s="44" t="s">
        <x:v>18</x:v>
      </x:c>
      <x:c r="J8" s="55" t="str">
        <x:v>No es cliente, patrocinador ni fuente de financiamiento</x:v>
      </x:c>
      <x:c r="K8" s="25"/>
      <x:c r="L8" s="46"/>
      <x:c r="M8" s="47"/>
      <x:c r="N8" s="3"/>
      <x:c r="O8" s="3"/>
      <x:c r="P8" s="3"/>
      <x:c r="Q8" s="48" t="str">
        <x:v>Catalina Gutiérrez</x:v>
      </x:c>
      <x:c r="R8" s="49" t="str">
        <x:v>Scrum Master / Development Team</x:v>
      </x:c>
      <x:c r="S8" s="273" t="n">
        <x:v>0</x:v>
      </x:c>
      <x:c r="T8" s="335" t="n">
        <x:v>0</x:v>
      </x:c>
      <x:c r="U8" s="48" t="str">
        <x:v>/H</x:v>
      </x:c>
    </x:row>
    <x:row r="9">
      <x:c r="B9" s="52" t="s">
        <x:v>19</x:v>
      </x:c>
      <x:c r="C9" s="314" t="n">
        <x:v>0</x:v>
      </x:c>
      <x:c r="D9" s="314" t="n">
        <x:v>0</x:v>
      </x:c>
      <x:c r="E9" s="315" t="n">
        <x:v>0</x:v>
      </x:c>
      <x:c r="F9" s="42"/>
      <x:c r="G9" s="43"/>
      <x:c r="H9" s="3"/>
      <x:c r="I9" s="56" t="s">
        <x:v>20</x:v>
      </x:c>
      <x:c r="J9" s="45" t="str">
        <x:v>No aplica</x:v>
      </x:c>
      <x:c r="K9" s="25"/>
      <x:c r="L9" s="46" t="s">
        <x:v>21</x:v>
      </x:c>
      <x:c r="M9" s="333" t="n">
        <x:f>E23</x:f>
        <x:v>-163404.06160000002</x:v>
      </x:c>
      <x:c r="N9" s="3"/>
      <x:c r="O9" s="3"/>
      <x:c r="P9" s="3"/>
      <x:c r="Q9" s="48" t="str">
        <x:v>Benjamín Vallejos</x:v>
      </x:c>
      <x:c r="R9" s="49" t="str">
        <x:v>Desarrollador Junior</x:v>
      </x:c>
      <x:c r="S9" s="273" t="n">
        <x:v>0</x:v>
      </x:c>
      <x:c r="T9" s="335" t="n">
        <x:v>0</x:v>
      </x:c>
      <x:c r="U9" s="48" t="str">
        <x:v>/H</x:v>
      </x:c>
    </x:row>
    <x:row r="10">
      <x:c r="B10" s="57" t="s">
        <x:v>22</x:v>
      </x:c>
      <x:c r="C10" s="314" t="n">
        <x:v>0</x:v>
      </x:c>
      <x:c r="D10" s="314" t="n">
        <x:v>0</x:v>
      </x:c>
      <x:c r="E10" s="315" t="n">
        <x:v>0</x:v>
      </x:c>
      <x:c r="F10" s="42"/>
      <x:c r="G10" s="43"/>
      <x:c r="H10" s="3"/>
      <x:c r="I10" s="56" t="s">
        <x:v>23</x:v>
      </x:c>
      <x:c r="J10" s="58" t="s">
        <x:v>24</x:v>
      </x:c>
      <x:c r="K10" s="25"/>
      <x:c r="L10" s="46" t="s">
        <x:v>25</x:v>
      </x:c>
      <x:c r="M10" s="333" t="str">
        <x:v>Proyecto académico sin cliente externo</x:v>
      </x:c>
      <x:c r="N10" s="3"/>
      <x:c r="O10" s="3"/>
      <x:c r="P10" s="3"/>
      <x:c r="Q10" s="60" t="str">
        <x:v>Michael Ibáñez</x:v>
      </x:c>
      <x:c r="R10" s="61" t="str">
        <x:v>Desarrollador Junior</x:v>
      </x:c>
      <x:c r="S10" s="269" t="n">
        <x:v>0</x:v>
      </x:c>
      <x:c r="T10" s="336" t="n">
        <x:v>0</x:v>
      </x:c>
      <x:c r="U10" s="60" t="str">
        <x:v>/H</x:v>
      </x:c>
    </x:row>
    <x:row r="11">
      <x:c r="B11" s="64" t="s">
        <x:v>26</x:v>
      </x:c>
      <x:c r="C11" s="316" t="n">
        <x:v>0</x:v>
      </x:c>
      <x:c r="D11" s="316" t="n">
        <x:v>0</x:v>
      </x:c>
      <x:c r="E11" s="317" t="n">
        <x:v>0</x:v>
      </x:c>
      <x:c r="F11" s="42"/>
      <x:c r="G11" s="43"/>
      <x:c r="H11" s="3"/>
      <x:c r="I11" s="56" t="s">
        <x:v>27</x:v>
      </x:c>
      <x:c r="J11" s="58" t="s">
        <x:v>28</x:v>
      </x:c>
      <x:c r="K11" s="25"/>
      <x:c r="L11" s="46" t="s">
        <x:v>29</x:v>
      </x:c>
      <x:c r="M11" s="333" t="str">
        <x:v>Sin ingresos comprometidos ni deuda</x:v>
      </x:c>
      <x:c r="N11" s="3"/>
      <x:c r="O11" s="3"/>
      <x:c r="P11" s="3"/>
      <x:c r="Q11" s="60"/>
      <x:c r="R11" s="61"/>
      <x:c r="S11" s="61"/>
      <x:c r="T11" s="61"/>
      <x:c r="U11" s="60"/>
    </x:row>
    <x:row r="12">
      <x:c r="B12" s="64" t="s">
        <x:v>30</x:v>
      </x:c>
      <x:c r="C12" s="318" t="n">
        <x:f t="shared" ref="C12:E12" si="1">SUM(C7:C11)</x:f>
        <x:v>0</x:v>
      </x:c>
      <x:c r="D12" s="318" t="n">
        <x:f t="shared" si="1">SUM(D7:D11)</x:f>
        <x:v>0</x:v>
      </x:c>
      <x:c r="E12" s="319" t="n">
        <x:f t="shared" si="1">SUM(E7:E11)</x:f>
        <x:v>0</x:v>
      </x:c>
      <x:c r="F12" s="3" t="s">
        <x:v>31</x:v>
      </x:c>
      <x:c r="G12" s="331" t="n">
        <x:f>SUM(C12:E12)</x:f>
        <x:v>0</x:v>
      </x:c>
      <x:c r="H12" s="3"/>
      <x:c r="I12" s="56" t="s">
        <x:v>32</x:v>
      </x:c>
      <x:c r="J12" s="71" t="n">
        <x:v>0</x:v>
      </x:c>
      <x:c r="K12" s="25"/>
      <x:c r="L12" s="46" t="s">
        <x:v>33</x:v>
      </x:c>
      <x:c r="M12" s="333" t="n">
        <x:f>G21</x:f>
        <x:v>476072.7816</x:v>
      </x:c>
      <x:c r="N12" s="3"/>
      <x:c r="O12" s="3"/>
      <x:c r="P12" s="3"/>
      <x:c r="Q12" s="73" t="s">
        <x:v>34</x:v>
      </x:c>
      <x:c r="R12" s="74" t="s">
        <x:v>35</x:v>
      </x:c>
      <x:c r="S12" s="75"/>
      <x:c r="T12" s="76"/>
      <x:c r="U12" s="60"/>
    </x:row>
    <x:row r="13">
      <x:c r="B13" s="77" t="s">
        <x:v>36</x:v>
      </x:c>
      <x:c r="C13" s="320" t="n">
        <x:f>C23</x:f>
        <x:v>-154024</x:v>
      </x:c>
      <x:c r="D13" s="320" t="n">
        <x:f t="shared" ref="D13:E13" si="2">C13+D23</x:f>
        <x:v>-312668.72</x:v>
      </x:c>
      <x:c r="E13" s="321" t="n">
        <x:f t="shared" si="2">D13+E23</x:f>
        <x:v>-476072.7816</x:v>
      </x:c>
      <x:c r="F13" s="3" t="s">
        <x:v>37</x:v>
      </x:c>
      <x:c r="G13" s="328" t="n">
        <x:f>E13</x:f>
        <x:v>-476072.7816</x:v>
      </x:c>
      <x:c r="H13" s="3"/>
      <x:c r="I13" s="82" t="s">
        <x:v>38</x:v>
      </x:c>
      <x:c r="J13" s="83" t="n">
        <x:v>0</x:v>
      </x:c>
      <x:c r="K13" s="25"/>
      <x:c r="L13" s="46" t="s">
        <x:v>39</x:v>
      </x:c>
      <x:c r="M13" s="333" t="n">
        <x:f>G12</x:f>
        <x:v>0</x:v>
      </x:c>
      <x:c r="N13" s="3"/>
      <x:c r="O13" s="3"/>
      <x:c r="P13" s="3"/>
      <x:c r="Q13" s="60" t="s">
        <x:v>40</x:v>
      </x:c>
      <x:c r="R13" s="273" t="n">
        <x:f>SUM(S7:S10)</x:f>
        <x:v>0</x:v>
      </x:c>
      <x:c r="S13" s="84"/>
      <x:c r="T13" s="61"/>
      <x:c r="U13" s="60"/>
    </x:row>
    <x:row r="14">
      <x:c r="B14" s="3"/>
      <x:c r="C14" s="277"/>
      <x:c r="D14" s="277"/>
      <x:c r="E14" s="277"/>
      <x:c r="F14" s="3"/>
      <x:c r="G14" s="277"/>
      <x:c r="H14" s="3"/>
      <x:c r="I14" s="85" t="s">
        <x:v>41</x:v>
      </x:c>
      <x:c r="J14" s="71" t="n">
        <x:v>0</x:v>
      </x:c>
      <x:c r="K14" s="25"/>
      <x:c r="L14" s="46" t="s">
        <x:v>42</x:v>
      </x:c>
      <x:c r="M14" s="246" t="n">
        <x:f>Hoja1!B16</x:f>
        <x:v>0.08</x:v>
      </x:c>
      <x:c r="N14" s="354" t="n">
        <x:f>M14/100</x:f>
        <x:v>0.0008</x:v>
      </x:c>
      <x:c r="O14" s="3"/>
      <x:c r="P14" s="3"/>
      <x:c r="Q14" s="90" t="s">
        <x:v>43</x:v>
      </x:c>
      <x:c r="R14" s="273" t="n">
        <x:v>182</x:v>
      </x:c>
      <x:c r="S14" s="91"/>
      <x:c r="T14" s="61"/>
      <x:c r="U14" s="60"/>
    </x:row>
    <x:row r="15">
      <x:c r="B15" s="92" t="s">
        <x:v>44</x:v>
      </x:c>
      <x:c r="C15" s="322"/>
      <x:c r="D15" s="322"/>
      <x:c r="E15" s="323"/>
      <x:c r="F15" s="3"/>
      <x:c r="G15" s="277"/>
      <x:c r="H15" s="3"/>
      <x:c r="I15" s="85" t="s">
        <x:v>45</x:v>
      </x:c>
      <x:c r="J15" s="71" t="n">
        <x:v>0</x:v>
      </x:c>
      <x:c r="K15" s="96"/>
      <x:c r="L15" s="46" t="s">
        <x:v>46</x:v>
      </x:c>
      <x:c r="M15" s="334" t="n">
        <x:f t="array" ref="M15">M6+M7/(1+M14)^1+M8/(1+M14)^2+M9/(1+M14)^3</x:f>
        <x:v>-129715.41241172585</x:v>
      </x:c>
      <x:c r="N15" s="3"/>
      <x:c r="O15" s="3"/>
      <x:c r="P15" s="3"/>
      <x:c r="Q15" s="60" t="s">
        <x:v>47</x:v>
      </x:c>
      <x:c r="R15" s="269" t="n">
        <x:f>C17</x:f>
        <x:v>0</x:v>
      </x:c>
      <x:c r="S15" s="61"/>
      <x:c r="T15" s="61"/>
      <x:c r="U15" s="60"/>
    </x:row>
    <x:row r="16">
      <x:c r="B16" s="101" t="s">
        <x:v>48</x:v>
      </x:c>
      <x:c r="C16" s="314">
        <x:v>0.0</x:v>
      </x:c>
      <x:c r="D16" s="314">
        <x:v>0.0</x:v>
      </x:c>
      <x:c r="E16" s="315">
        <x:v>0.0</x:v>
      </x:c>
      <x:c r="F16" s="3"/>
      <x:c r="G16" s="277"/>
      <x:c r="H16" s="3"/>
      <x:c r="I16" s="85" t="s">
        <x:v>49</x:v>
      </x:c>
      <x:c r="J16" s="71" t="n">
        <x:v>0</x:v>
      </x:c>
      <x:c r="K16" s="25"/>
      <x:c r="L16" s="46" t="s">
        <x:v>50</x:v>
      </x:c>
      <x:c r="M16" s="102" t="str">
        <x:v>No aplica: no existen ingresos comprometidos</x:v>
      </x:c>
      <x:c r="N16" s="3"/>
      <x:c r="O16" s="3"/>
      <x:c r="P16" s="3"/>
      <x:c r="Q16" s="103"/>
      <x:c r="R16" s="27"/>
      <x:c r="S16" s="27"/>
      <x:c r="T16" s="27"/>
      <x:c r="U16" s="28"/>
    </x:row>
    <x:row r="17">
      <x:c r="B17" s="101" t="s">
        <x:v>51</x:v>
      </x:c>
      <x:c r="C17" s="324" t="n">
        <x:f>S7/$R$14*0+S8/$R$14*0+S9/$R$14*0+S10/$R$14*0</x:f>
        <x:v>0</x:v>
      </x:c>
      <x:c r="D17" s="325" t="n">
        <x:f>S7*(1+Hoja1!$B$14)/$R$14*0+S8*(1+Hoja1!$B$14)/$R$14*0+S9*(1+Hoja1!$B$14)/$R$14*0+S10*(1+Hoja1!$B$14)/$R$14*0</x:f>
        <x:v>0</x:v>
      </x:c>
      <x:c r="E17" s="325" t="n">
        <x:f>S7*(1+Hoja1!$B$14)^2/$R$14*0+S8*(1+Hoja1!$B$14)^2/$R$14*0+S9*(1+Hoja1!$B$14)^2/$R$14*0+S10*(1+Hoja1!$B$14)^2/$R$14*0</x:f>
        <x:v>0</x:v>
      </x:c>
      <x:c r="F17" s="3"/>
      <x:c r="G17" s="277"/>
      <x:c r="H17" s="3"/>
      <x:c r="I17" s="106" t="s">
        <x:v>52</x:v>
      </x:c>
      <x:c r="J17" s="107" t="str">
        <x:v>Sin deuda; proyecto académico autofinanciado en tiempo/recursos propios</x:v>
      </x:c>
      <x:c r="K17" s="25"/>
      <x:c r="L17" s="3"/>
      <x:c r="M17" s="3"/>
      <x:c r="N17" s="3"/>
      <x:c r="O17" s="3"/>
      <x:c r="P17" s="3"/>
      <x:c r="Q17" s="108"/>
      <x:c r="R17" s="109"/>
      <x:c r="S17" s="109"/>
      <x:c r="T17" s="109"/>
      <x:c r="U17" s="109"/>
    </x:row>
    <x:row r="18">
      <x:c r="B18" s="101" t="s">
        <x:v>53</x:v>
      </x:c>
      <x:c r="C18" s="324" t="n">
        <x:v>9990</x:v>
      </x:c>
      <x:c r="D18" s="324" t="n">
        <x:v>10289.7</x:v>
      </x:c>
      <x:c r="E18" s="325" t="n">
        <x:v>10598.391</x:v>
      </x:c>
      <x:c r="F18" s="3"/>
      <x:c r="G18" s="277"/>
      <x:c r="H18" s="3"/>
      <x:c r="I18" s="3"/>
      <x:c r="J18" s="3"/>
      <x:c r="K18" s="3"/>
      <x:c r="L18" s="3"/>
      <x:c r="M18" s="3"/>
      <x:c r="N18" s="3"/>
      <x:c r="O18" s="3"/>
      <x:c r="P18" s="3"/>
      <x:c r="Q18" s="48"/>
      <x:c r="R18" s="48"/>
      <x:c r="S18" s="112"/>
      <x:c r="T18" s="91"/>
      <x:c r="U18" s="48"/>
    </x:row>
    <x:row r="19">
      <x:c r="B19" s="101" t="s">
        <x:v>54</x:v>
      </x:c>
      <x:c r="C19" s="314" t="n">
        <x:v>0</x:v>
      </x:c>
      <x:c r="D19" s="314" t="n">
        <x:v>0</x:v>
      </x:c>
      <x:c r="E19" s="315" t="n">
        <x:v>0</x:v>
      </x:c>
      <x:c r="F19" s="3"/>
      <x:c r="G19" s="277"/>
      <x:c r="H19" s="3"/>
      <x:c r="I19" s="3"/>
      <x:c r="J19" s="3"/>
      <x:c r="K19" s="3"/>
      <x:c r="L19" s="23" t="s">
        <x:v>55</x:v>
      </x:c>
      <x:c r="M19" s="22"/>
      <x:c r="N19" s="3"/>
      <x:c r="O19" s="3"/>
      <x:c r="P19" s="3"/>
      <x:c r="Q19" s="60"/>
      <x:c r="R19" s="60"/>
      <x:c r="S19" s="113"/>
      <x:c r="T19" s="114"/>
      <x:c r="U19" s="60"/>
    </x:row>
    <x:row r="20">
      <x:c r="B20" s="101" t="s">
        <x:v>56</x:v>
      </x:c>
      <x:c r="C20" s="324" t="n">
        <x:v>144034</x:v>
      </x:c>
      <x:c r="D20" s="324" t="n">
        <x:v>148355.02</x:v>
      </x:c>
      <x:c r="E20" s="325" t="n">
        <x:v>152805.6706</x:v>
      </x:c>
      <x:c r="F20" s="3"/>
      <x:c r="G20" s="332"/>
      <x:c r="H20" s="3"/>
      <x:c r="I20" s="3"/>
      <x:c r="J20" s="3"/>
      <x:c r="K20" s="25"/>
      <x:c r="L20" s="116" t="s">
        <x:v>57</x:v>
      </x:c>
      <x:c r="M20" s="350" t="s">
        <x:v>58</x:v>
      </x:c>
      <x:c r="N20" s="3"/>
      <x:c r="O20" s="3"/>
      <x:c r="P20" s="3"/>
      <x:c r="Q20" s="60"/>
      <x:c r="R20" s="48"/>
      <x:c r="S20" s="118"/>
      <x:c r="T20" s="114"/>
      <x:c r="U20" s="60"/>
    </x:row>
    <x:row r="21" ht="15.75" customHeight="1">
      <x:c r="B21" s="119" t="s">
        <x:v>59</x:v>
      </x:c>
      <x:c r="C21" s="326" t="n">
        <x:f t="shared" ref="C21:E21" si="3">SUM(C16:C20)</x:f>
        <x:v>154024</x:v>
      </x:c>
      <x:c r="D21" s="326" t="n">
        <x:f t="shared" si="3">SUM(D16:D20)</x:f>
        <x:v>158644.72</x:v>
      </x:c>
      <x:c r="E21" s="327" t="n">
        <x:f t="shared" si="3">SUM(E16:E20)</x:f>
        <x:v>163404.06160000002</x:v>
      </x:c>
      <x:c r="F21" s="3" t="s">
        <x:v>60</x:v>
      </x:c>
      <x:c r="G21" s="328" t="n">
        <x:f>SUM(C21:E21)</x:f>
        <x:v>476072.7816</x:v>
      </x:c>
      <x:c r="H21" s="3"/>
      <x:c r="I21" s="3"/>
      <x:c r="J21" s="3"/>
      <x:c r="K21" s="89"/>
      <x:c r="L21" s="122" t="s">
        <x:v>61</x:v>
      </x:c>
      <x:c r="M21" s="351" t="n">
        <x:v>0</x:v>
      </x:c>
      <x:c r="N21" s="3"/>
      <x:c r="O21" s="3"/>
      <x:c r="P21" s="3"/>
      <x:c r="Q21" s="3"/>
      <x:c r="R21" s="3"/>
      <x:c r="S21" s="124"/>
      <x:c r="T21" s="125"/>
      <x:c r="U21" s="3"/>
    </x:row>
    <x:row r="22" ht="15.75" customHeight="1">
      <x:c r="B22" s="3"/>
      <x:c r="C22" s="328"/>
      <x:c r="D22" s="328"/>
      <x:c r="E22" s="328"/>
      <x:c r="F22" s="3"/>
      <x:c r="G22" s="331"/>
      <x:c r="H22" s="3"/>
      <x:c r="I22" s="3"/>
      <x:c r="J22" s="3"/>
      <x:c r="K22" s="3"/>
      <x:c r="L22" s="126" t="s">
        <x:v>62</x:v>
      </x:c>
      <x:c r="M22" s="352" t="n">
        <x:v>0</x:v>
      </x:c>
      <x:c r="N22" s="3"/>
      <x:c r="O22" s="3"/>
      <x:c r="P22" s="3"/>
      <x:c r="Q22" s="3"/>
      <x:c r="R22" s="3"/>
      <x:c r="S22" s="3"/>
      <x:c r="T22" s="20"/>
      <x:c r="U22" s="3"/>
    </x:row>
    <x:row r="23" ht="15.75" customHeight="1">
      <x:c r="B23" s="128" t="s">
        <x:v>63</x:v>
      </x:c>
      <x:c r="C23" s="329" t="n">
        <x:f t="shared" ref="C23:E23" si="4">C12-C21</x:f>
        <x:v>-154024</x:v>
      </x:c>
      <x:c r="D23" s="329" t="n">
        <x:f t="shared" si="4">D12-D21</x:f>
        <x:v>-158644.72</x:v>
      </x:c>
      <x:c r="E23" s="330" t="n">
        <x:f t="shared" si="4">E12-E21</x:f>
        <x:v>-163404.06160000002</x:v>
      </x:c>
      <x:c r="F23" s="3" t="s">
        <x:v>64</x:v>
      </x:c>
      <x:c r="G23" s="328" t="n">
        <x:f>SUM(C23:E23)</x:f>
        <x:v>-476072.7816</x:v>
      </x:c>
      <x:c r="H23" s="3"/>
      <x:c r="I23" s="3"/>
      <x:c r="J23" s="3"/>
      <x:c r="K23" s="3"/>
      <x:c r="L23" s="131" t="s">
        <x:v>65</x:v>
      </x:c>
      <x:c r="M23" s="353" t="n">
        <x:f>SUM(M21:M22)</x:f>
        <x:v>0</x:v>
      </x:c>
      <x:c r="N23" s="3"/>
      <x:c r="O23" s="3"/>
      <x:c r="P23" s="3"/>
      <x:c r="Q23" s="3"/>
      <x:c r="R23" s="3"/>
      <x:c r="S23" s="3"/>
      <x:c r="T23" s="3"/>
      <x:c r="U23" s="3"/>
    </x:row>
    <x:row r="24" ht="15.75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133" t="s">
        <x:v>10</x:v>
      </x:c>
      <x:c r="R24" s="133" t="s">
        <x:v>66</x:v>
      </x:c>
      <x:c r="S24" s="133" t="s">
        <x:v>67</x:v>
      </x:c>
      <x:c r="T24" s="133" t="s">
        <x:v>68</x:v>
      </x:c>
      <x:c r="U24" s="133" t="s">
        <x:v>14</x:v>
      </x:c>
    </x:row>
    <x:row r="25" ht="15.75" customHeight="1">
      <x:c r="B25" s="134" t="s">
        <x:v>69</x:v>
      </x:c>
      <x:c r="C25" s="135" t="str">
        <x:v>GitHub Free + GitHub Actions (repo público / plan actual)</x:v>
      </x:c>
      <x:c r="D25" s="27"/>
      <x:c r="E25" s="27"/>
      <x:c r="F25" s="28"/>
      <x:c r="G25" s="337" t="n">
        <x:v>0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 t="str">
        <x:v>Fernanda Poblete</x:v>
      </x:c>
      <x:c r="R25" s="3" t="str">
        <x:v>Product Owner</x:v>
      </x:c>
      <x:c r="S25" s="355" t="n">
        <x:v>0</x:v>
      </x:c>
      <x:c r="T25" s="349" t="n">
        <x:v>0</x:v>
      </x:c>
      <x:c r="U25" s="3" t="str">
        <x:v>CLP</x:v>
      </x:c>
    </x:row>
    <x:row r="26" ht="15.75" customHeight="1">
      <x:c r="B26" s="138"/>
      <x:c r="C26" s="139" t="s">
        <x:v>70</x:v>
      </x:c>
      <x:c r="D26" s="27"/>
      <x:c r="E26" s="27"/>
      <x:c r="F26" s="28"/>
      <x:c r="G26" s="338" t="n">
        <x:v>0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 t="str">
        <x:v>Catalina Gutiérrez</x:v>
      </x:c>
      <x:c r="R26" s="3" t="str">
        <x:v>Scrum Master</x:v>
      </x:c>
      <x:c r="S26" s="355" t="n">
        <x:v>0</x:v>
      </x:c>
      <x:c r="T26" s="349" t="n">
        <x:v>0</x:v>
      </x:c>
      <x:c r="U26" s="3" t="str">
        <x:v>CLP</x:v>
      </x:c>
    </x:row>
    <x:row r="27" ht="15.75" customHeight="1">
      <x:c r="B27" s="138"/>
      <x:c r="C27" s="139" t="s">
        <x:v>71</x:v>
      </x:c>
      <x:c r="D27" s="27"/>
      <x:c r="E27" s="27"/>
      <x:c r="F27" s="28"/>
      <x:c r="G27" s="338" t="n">
        <x:v>0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 t="str">
        <x:v>Benjamín Vallejos</x:v>
      </x:c>
      <x:c r="R27" s="3" t="str">
        <x:v>Desarrollador Junior</x:v>
      </x:c>
      <x:c r="S27" s="355" t="n">
        <x:v>0</x:v>
      </x:c>
      <x:c r="T27" s="349" t="n">
        <x:v>0</x:v>
      </x:c>
      <x:c r="U27" s="3" t="str">
        <x:v>CLP</x:v>
      </x:c>
    </x:row>
    <x:row r="28" ht="15.75" customHeight="1">
      <x:c r="B28" s="138"/>
      <x:c r="C28" s="141" t="s">
        <x:v>72</x:v>
      </x:c>
      <x:c r="D28" s="27"/>
      <x:c r="E28" s="27"/>
      <x:c r="F28" s="28"/>
      <x:c r="G28" s="338" t="n">
        <x:v>0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 t="str">
        <x:v>Michael Ibáñez</x:v>
      </x:c>
      <x:c r="R28" s="3" t="str">
        <x:v>Desarrollador Junior</x:v>
      </x:c>
      <x:c r="S28" s="355" t="n">
        <x:v>0</x:v>
      </x:c>
      <x:c r="T28" s="349" t="n">
        <x:v>0</x:v>
      </x:c>
      <x:c r="U28" s="3" t="str">
        <x:v>CLP</x:v>
      </x:c>
    </x:row>
    <x:row r="29" ht="15.75" customHeight="1">
      <x:c r="B29" s="138"/>
      <x:c r="C29" s="141" t="s">
        <x:v>73</x:v>
      </x:c>
      <x:c r="D29" s="27"/>
      <x:c r="E29" s="27"/>
      <x:c r="F29" s="28"/>
      <x:c r="G29" s="339" t="n">
        <x:v>0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43"/>
      <x:c r="T29" s="277"/>
      <x:c r="U29" s="3"/>
    </x:row>
    <x:row r="30" ht="15.75" customHeight="1">
      <x:c r="B30" s="138"/>
      <x:c r="C30" s="141" t="s">
        <x:v>74</x:v>
      </x:c>
      <x:c r="D30" s="27"/>
      <x:c r="E30" s="27"/>
      <x:c r="F30" s="28"/>
      <x:c r="G30" s="340" t="n">
        <x:v>0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 t="s">
        <x:v>75</x:v>
      </x:c>
      <x:c r="S30" s="43"/>
      <x:c r="T30" s="328" t="n">
        <x:f>SUM(T25:T28)</x:f>
        <x:v>0</x:v>
      </x:c>
      <x:c r="U30" s="3"/>
    </x:row>
    <x:row r="31" ht="15.75" customHeight="1">
      <x:c r="B31" s="138"/>
      <x:c r="C31" s="141" t="s">
        <x:v>76</x:v>
      </x:c>
      <x:c r="D31" s="27"/>
      <x:c r="E31" s="27"/>
      <x:c r="F31" s="28"/>
      <x:c r="G31" s="341" t="n">
        <x:v>0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43"/>
      <x:c r="T31" s="43"/>
      <x:c r="U31" s="3"/>
    </x:row>
    <x:row r="32" ht="15.75" customHeight="1">
      <x:c r="B32" s="138"/>
      <x:c r="C32" s="141" t="s">
        <x:v>77</x:v>
      </x:c>
      <x:c r="D32" s="27"/>
      <x:c r="E32" s="27"/>
      <x:c r="F32" s="28"/>
      <x:c r="G32" s="340" t="n">
        <x:v>0</x:v>
      </x:c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5.75" customHeight="1">
      <x:c r="B33" s="138"/>
      <x:c r="C33" s="141" t="str">
        <x:v>Figma Education/Starter para prototipado</x:v>
      </x:c>
      <x:c r="D33" s="27"/>
      <x:c r="E33" s="27"/>
      <x:c r="F33" s="28"/>
      <x:c r="G33" s="340" t="n">
        <x:v>0</x:v>
      </x:c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5.75" customHeight="1">
      <x:c r="B34" s="145"/>
      <x:c r="C34" s="139" t="str">
        <x:v>SSL/HTTPS y backups incluidos en la infraestructura utilizada</x:v>
      </x:c>
      <x:c r="D34" s="27"/>
      <x:c r="E34" s="27"/>
      <x:c r="F34" s="28"/>
      <x:c r="G34" s="340" t="n">
        <x:v>0</x:v>
      </x:c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5.75" customHeight="1">
      <x:c r="B35" s="3"/>
      <x:c r="C35" s="146" t="str">
        <x:v>Supabase Free — 12 meses</x:v>
      </x:c>
      <x:c r="D35" s="147"/>
      <x:c r="E35" s="147"/>
      <x:c r="F35" s="148"/>
      <x:c r="G35" s="342" t="n">
        <x:v>0</x:v>
      </x:c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5.75" customHeight="1">
      <x:c r="B36" s="3"/>
      <x:c r="C36" s="150" t="str">
        <x:v>Dominio .CL — 1 año</x:v>
      </x:c>
      <x:c r="D36" s="150"/>
      <x:c r="E36" s="150"/>
      <x:c r="F36" s="150"/>
      <x:c r="G36" s="343" t="n">
        <x:v>9990</x:v>
      </x:c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5.75" customHeight="1">
      <x:c r="B37" s="3"/>
      <x:c r="C37" s="150" t="str">
        <x:v>Validación profesional LSCh — 2 h</x:v>
      </x:c>
      <x:c r="D37" s="150"/>
      <x:c r="E37" s="150"/>
      <x:c r="F37" s="150"/>
      <x:c r="G37" s="343" t="n">
        <x:v>84034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5.75" customHeight="1">
      <x:c r="B38" s="3"/>
      <x:c r="C38" s="150" t="str">
        <x:v>Incentivos pruebas de usabilidad — 2 personas</x:v>
      </x:c>
      <x:c r="D38" s="150"/>
      <x:c r="E38" s="150"/>
      <x:c r="F38" s="150"/>
      <x:c r="G38" s="343" t="n">
        <x:v>30000</x:v>
      </x:c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5.75" customHeight="1">
      <x:c r="B39" s="134" t="s">
        <x:v>78</x:v>
      </x:c>
      <x:c r="C39" s="135" t="str">
        <x:v>Logística validación — transporte, materiales y colaciones</x:v>
      </x:c>
      <x:c r="D39" s="27"/>
      <x:c r="E39" s="27"/>
      <x:c r="F39" s="28"/>
      <x:c r="G39" s="337" t="n">
        <x:v>30000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5.75" customHeight="1">
      <x:c r="B40" s="138"/>
      <x:c r="C40" s="141" t="str">
        <x:v>Apoyo Oficina Inclusión DIDECO Huechuraba — convocatoria</x:v>
      </x:c>
      <x:c r="D40" s="27"/>
      <x:c r="E40" s="27"/>
      <x:c r="F40" s="28"/>
      <x:c r="G40" s="338" t="n">
        <x:v>0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5.75" customHeight="1">
      <x:c r="B41" s="138"/>
      <x:c r="C41" s="141" t="str">
        <x:v>4 notebooks personales / infraestructura Duoc UC</x:v>
      </x:c>
      <x:c r="D41" s="27"/>
      <x:c r="E41" s="27"/>
      <x:c r="F41" s="28"/>
      <x:c r="G41" s="344" t="n">
        <x:v>0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5.75" customHeight="1">
      <x:c r="B42" s="138"/>
      <x:c r="C42" s="141" t="str">
        <x:v>Dispositivos Android personales para pruebas</x:v>
      </x:c>
      <x:c r="D42" s="27"/>
      <x:c r="E42" s="27"/>
      <x:c r="F42" s="28"/>
      <x:c r="G42" s="345" t="n">
        <x:v>0</x:v>
      </x:c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5.75" customHeight="1">
      <x:c r="B43" s="138"/>
      <x:c r="C43" s="141" t="s">
        <x:v>79</x:v>
      </x:c>
      <x:c r="D43" s="27"/>
      <x:c r="E43" s="27"/>
      <x:c r="F43" s="28"/>
      <x:c r="G43" s="344" t="n">
        <x:v>154024</x:v>
      </x:c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5.75" customHeight="1">
      <x:c r="B44" s="138"/>
      <x:c r="C44" s="141" t="s">
        <x:v>80</x:v>
      </x:c>
      <x:c r="D44" s="27"/>
      <x:c r="E44" s="27"/>
      <x:c r="F44" s="28"/>
      <x:c r="G44" s="346" t="n">
        <x:v>0</x:v>
      </x:c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5.75" customHeight="1">
      <x:c r="B45" s="145"/>
      <x:c r="C45" s="141" t="str">
        <x:v>Validación LSCh (2 h) + pruebas + materiales</x:v>
      </x:c>
      <x:c r="D45" s="27"/>
      <x:c r="E45" s="27"/>
      <x:c r="F45" s="28"/>
      <x:c r="G45" s="345" t="n">
        <x:v>148355.02</x:v>
      </x:c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5.75" customHeight="1">
      <x:c r="B46" s="3"/>
      <x:c r="C46" s="155" t="str">
        <x:v>Dominio .CL</x:v>
      </x:c>
      <x:c r="D46" s="27"/>
      <x:c r="E46" s="27"/>
      <x:c r="F46" s="28"/>
      <x:c r="G46" s="347" t="n">
        <x:v>10289.7</x:v>
      </x:c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5.75" customHeight="1">
      <x:c r="B47" s="3"/>
      <x:c r="C47" s="3" t="str">
        <x:v>Validación LSCh + pruebas + logística</x:v>
      </x:c>
      <x:c r="D47" s="3"/>
      <x:c r="E47" s="3"/>
      <x:c r="F47" s="3"/>
      <x:c r="G47" s="277" t="n">
        <x:v>148355.02</x:v>
      </x:c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5.75" customHeight="1">
      <x:c r="B48" s="98" t="s">
        <x:v>81</x:v>
      </x:c>
      <x:c r="C48" s="157" t="str">
        <x:v>Mantenimiento app (sin valorización salarial)</x:v>
      </x:c>
      <x:c r="G48" s="277" t="n">
        <x:v>0</x:v>
      </x:c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5.75" customHeight="1">
      <x:c r="B49" s="98" t="s">
        <x:v>82</x:v>
      </x:c>
      <x:c r="C49" s="157" t="s">
        <x:v>83</x:v>
      </x:c>
      <x:c r="G49" s="277" t="n">
        <x:v>0</x:v>
      </x:c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5.75" customHeight="1">
      <x:c r="C50" s="158" t="s">
        <x:v>84</x:v>
      </x:c>
      <x:c r="G50" s="348" t="n">
        <x:v>158644.72</x:v>
      </x:c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U1"/>
    <x:mergeCell ref="B2:U2"/>
    <x:mergeCell ref="B4:G4"/>
    <x:mergeCell ref="C5:E5"/>
    <x:mergeCell ref="I5:J5"/>
    <x:mergeCell ref="L5:M5"/>
    <x:mergeCell ref="Q5:U5"/>
    <x:mergeCell ref="C28:F28"/>
    <x:mergeCell ref="C29:F29"/>
    <x:mergeCell ref="C30:F30"/>
    <x:mergeCell ref="C31:F31"/>
    <x:mergeCell ref="B15:E15"/>
    <x:mergeCell ref="Q16:U16"/>
    <x:mergeCell ref="L19:M19"/>
    <x:mergeCell ref="B25:B34"/>
    <x:mergeCell ref="C25:F25"/>
    <x:mergeCell ref="C26:F26"/>
    <x:mergeCell ref="C27:F27"/>
    <x:mergeCell ref="C34:F34"/>
    <x:mergeCell ref="C42:F42"/>
    <x:mergeCell ref="C43:F43"/>
    <x:mergeCell ref="C44:F44"/>
    <x:mergeCell ref="C45:F45"/>
    <x:mergeCell ref="C46:F46"/>
    <x:mergeCell ref="C48:F48"/>
    <x:mergeCell ref="C49:F49"/>
    <x:mergeCell ref="C32:F32"/>
    <x:mergeCell ref="C33:F33"/>
    <x:mergeCell ref="C35:F35"/>
    <x:mergeCell ref="B39:B45"/>
    <x:mergeCell ref="C39:F39"/>
    <x:mergeCell ref="C40:F40"/>
    <x:mergeCell ref="C41:F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0.710000038146973" customWidth="1"/>
    <x:col min="2" max="2" width="34" customWidth="1"/>
    <x:col min="3" max="5" width="15" customWidth="1"/>
    <x:col min="6" max="6" width="28" customWidth="1"/>
    <x:col min="7" max="7" width="16" customWidth="1"/>
    <x:col min="9" max="14" width="18" customWidth="1"/>
    <x:col min="15" max="16" width="10.710000038146973" customWidth="1"/>
    <x:col min="17" max="17" width="24" customWidth="1"/>
    <x:col min="18" max="18" width="34" customWidth="1"/>
    <x:col min="19" max="20" width="18" customWidth="1"/>
    <x:col min="21" max="21" width="10" customWidth="1"/>
  </x:cols>
  <x:sheetData>
    <x:row r="1" ht="15" customHeight="1">
      <x:c r="B1" s="2" t="str">
        <x:v>FORMULARIO FLUJO DE CAJA — SIGNY (CLP) — PRESUPUESTO MEDIO — RECOMENDADO</x:v>
      </x:c>
    </x:row>
    <x:row r="2" ht="15" customHeight="1">
      <x:c r="B2" s="4" t="str">
        <x:v>Signy — Presupuesto medio recomendado. 4 integrantes con horas valorizadas, infraestructura real y validación con apoyo no monetario de DIDECO Huechuraba. Todos los montos en CLP.</x:v>
      </x:c>
    </x:row>
    <x:row r="3" ht="33" customHeight="1">
      <x:c r="B3" s="5"/>
      <x:c r="C3" s="5"/>
      <x:c r="D3" s="5"/>
      <x:c r="E3" s="5"/>
      <x:c r="F3" s="5"/>
      <x:c r="G3" s="5"/>
      <x:c r="H3" s="5"/>
      <x:c r="I3" s="7" t="s">
        <x:v>0</x:v>
      </x:c>
      <x:c r="J3" s="8"/>
      <x:c r="K3" s="8"/>
      <x:c r="L3" s="8"/>
      <x:c r="M3" s="8"/>
      <x:c r="N3" s="8"/>
      <x:c r="O3" s="8"/>
      <x:c r="P3" s="3"/>
      <x:c r="Q3" s="3"/>
      <x:c r="R3" s="3"/>
      <x:c r="S3" s="3"/>
      <x:c r="T3" s="3"/>
      <x:c r="U3" s="3"/>
    </x:row>
    <x:row r="4" ht="26.25" customHeight="1">
      <x:c r="B4" s="12" t="s">
        <x:v>1</x:v>
      </x:c>
      <x:c r="H4" s="3"/>
      <x:c r="I4" s="13" t="s">
        <x:v>2</x:v>
      </x:c>
      <x:c r="J4" s="3" t="str">
        <x:v>Oficina de Inclusión Social para Personas con Discapacidad</x:v>
      </x:c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5" customHeight="1">
      <x:c r="B5" s="3"/>
      <x:c r="C5" s="15" t="s">
        <x:v>3</x:v>
      </x:c>
      <x:c r="D5" s="16"/>
      <x:c r="E5" s="17"/>
      <x:c r="F5" s="18"/>
      <x:c r="G5" s="19"/>
      <x:c r="H5" s="3"/>
      <x:c r="I5" s="21" t="s">
        <x:v>4</x:v>
      </x:c>
      <x:c r="J5" s="22" t="str">
        <x:v>Dirección de Desarrollo Comunitario (DIDECO) de Huechuraba</x:v>
      </x:c>
      <x:c r="K5" s="3"/>
      <x:c r="L5" s="23"/>
      <x:c r="M5" s="24"/>
      <x:c r="N5" s="18"/>
      <x:c r="O5" s="3"/>
      <x:c r="P5" s="3"/>
      <x:c r="Q5" s="26" t="s">
        <x:v>5</x:v>
      </x:c>
      <x:c r="R5" s="27"/>
      <x:c r="S5" s="27"/>
      <x:c r="T5" s="27"/>
      <x:c r="U5" s="28"/>
    </x:row>
    <x:row r="6" ht="39" customHeight="1">
      <x:c r="B6" s="3"/>
      <x:c r="C6" s="29" t="s">
        <x:v>6</x:v>
      </x:c>
      <x:c r="D6" s="30" t="s">
        <x:v>7</x:v>
      </x:c>
      <x:c r="E6" s="31" t="s">
        <x:v>8</x:v>
      </x:c>
      <x:c r="F6" s="32"/>
      <x:c r="G6" s="33"/>
      <x:c r="H6" s="3"/>
      <x:c r="I6" s="34" t="s">
        <x:v>9</x:v>
      </x:c>
      <x:c r="J6" s="35" t="str">
        <x:v>No monetario — vinculación con personas sordas para pruebas y validación</x:v>
      </x:c>
      <x:c r="K6" s="25"/>
      <x:c r="L6" s="36"/>
      <x:c r="M6" s="37"/>
      <x:c r="N6" s="3"/>
      <x:c r="O6" s="3"/>
      <x:c r="P6" s="3"/>
      <x:c r="Q6" s="38" t="s">
        <x:v>10</x:v>
      </x:c>
      <x:c r="R6" s="39" t="s">
        <x:v>11</x:v>
      </x:c>
      <x:c r="S6" s="39" t="s">
        <x:v>12</x:v>
      </x:c>
      <x:c r="T6" s="39" t="s">
        <x:v>13</x:v>
      </x:c>
      <x:c r="U6" s="39" t="s">
        <x:v>14</x:v>
      </x:c>
    </x:row>
    <x:row r="7" ht="15" customHeight="1">
      <x:c r="B7" s="40" t="s">
        <x:v>15</x:v>
      </x:c>
      <x:c r="C7" s="312" t="n">
        <x:v>0</x:v>
      </x:c>
      <x:c r="D7" s="312" t="n">
        <x:v>0</x:v>
      </x:c>
      <x:c r="E7" s="313" t="n">
        <x:v>0</x:v>
      </x:c>
      <x:c r="F7" s="42"/>
      <x:c r="G7" s="43"/>
      <x:c r="H7" s="3"/>
      <x:c r="I7" s="44" t="s">
        <x:v>16</x:v>
      </x:c>
      <x:c r="J7" s="45" t="n">
        <x:v>0</x:v>
      </x:c>
      <x:c r="K7" s="25" t="str">
        <x:v>CLP</x:v>
      </x:c>
      <x:c r="L7" s="46"/>
      <x:c r="M7" s="47"/>
      <x:c r="N7" s="3"/>
      <x:c r="O7" s="3"/>
      <x:c r="P7" s="3"/>
      <x:c r="Q7" s="48" t="str">
        <x:v>Fernanda Poblete</x:v>
      </x:c>
      <x:c r="R7" s="49" t="str">
        <x:v>Product Owner / Gestión de Proyectos</x:v>
      </x:c>
      <x:c r="S7" s="273" t="n">
        <x:v>1565786</x:v>
      </x:c>
      <x:c r="T7" s="335" t="n">
        <x:v>8603.21978021978</x:v>
      </x:c>
      <x:c r="U7" s="48" t="str">
        <x:v>/H</x:v>
      </x:c>
    </x:row>
    <x:row r="8" ht="26.25" customHeight="1">
      <x:c r="B8" s="52" t="s">
        <x:v>17</x:v>
      </x:c>
      <x:c r="C8" s="314" t="n">
        <x:v>0</x:v>
      </x:c>
      <x:c r="D8" s="314" t="n">
        <x:v>0</x:v>
      </x:c>
      <x:c r="E8" s="315" t="n">
        <x:v>0</x:v>
      </x:c>
      <x:c r="F8" s="42"/>
      <x:c r="G8" s="43"/>
      <x:c r="H8" s="3"/>
      <x:c r="I8" s="44" t="s">
        <x:v>18</x:v>
      </x:c>
      <x:c r="J8" s="55" t="str">
        <x:v>No es cliente, patrocinador ni fuente de financiamiento</x:v>
      </x:c>
      <x:c r="K8" s="25"/>
      <x:c r="L8" s="46"/>
      <x:c r="M8" s="47"/>
      <x:c r="N8" s="3"/>
      <x:c r="O8" s="3"/>
      <x:c r="P8" s="3"/>
      <x:c r="Q8" s="48" t="str">
        <x:v>Catalina Gutiérrez</x:v>
      </x:c>
      <x:c r="R8" s="49" t="str">
        <x:v>Scrum Master / Development Team</x:v>
      </x:c>
      <x:c r="S8" s="273" t="n">
        <x:v>1655847</x:v>
      </x:c>
      <x:c r="T8" s="335" t="n">
        <x:v>9098.060439560439</x:v>
      </x:c>
      <x:c r="U8" s="48" t="str">
        <x:v>/H</x:v>
      </x:c>
    </x:row>
    <x:row r="9">
      <x:c r="B9" s="52" t="s">
        <x:v>19</x:v>
      </x:c>
      <x:c r="C9" s="314" t="n">
        <x:v>0</x:v>
      </x:c>
      <x:c r="D9" s="314" t="n">
        <x:v>0</x:v>
      </x:c>
      <x:c r="E9" s="315" t="n">
        <x:v>0</x:v>
      </x:c>
      <x:c r="F9" s="42"/>
      <x:c r="G9" s="43"/>
      <x:c r="H9" s="3"/>
      <x:c r="I9" s="56" t="s">
        <x:v>20</x:v>
      </x:c>
      <x:c r="J9" s="45" t="str">
        <x:v>No aplica</x:v>
      </x:c>
      <x:c r="K9" s="25"/>
      <x:c r="L9" s="46" t="s">
        <x:v>21</x:v>
      </x:c>
      <x:c r="M9" s="333" t="n">
        <x:f>E23</x:f>
        <x:v>-1333479.9632186813</x:v>
      </x:c>
      <x:c r="N9" s="3"/>
      <x:c r="O9" s="3"/>
      <x:c r="P9" s="3"/>
      <x:c r="Q9" s="48" t="str">
        <x:v>Benjamín Vallejos</x:v>
      </x:c>
      <x:c r="R9" s="49" t="str">
        <x:v>Desarrollador Junior</x:v>
      </x:c>
      <x:c r="S9" s="273" t="n">
        <x:v>1050000</x:v>
      </x:c>
      <x:c r="T9" s="335" t="n">
        <x:v>5769.2307692307695</x:v>
      </x:c>
      <x:c r="U9" s="48" t="str">
        <x:v>/H</x:v>
      </x:c>
    </x:row>
    <x:row r="10">
      <x:c r="B10" s="57" t="s">
        <x:v>22</x:v>
      </x:c>
      <x:c r="C10" s="314" t="n">
        <x:v>0</x:v>
      </x:c>
      <x:c r="D10" s="314" t="n">
        <x:v>0</x:v>
      </x:c>
      <x:c r="E10" s="315" t="n">
        <x:v>0</x:v>
      </x:c>
      <x:c r="F10" s="42"/>
      <x:c r="G10" s="43"/>
      <x:c r="H10" s="3"/>
      <x:c r="I10" s="56" t="s">
        <x:v>23</x:v>
      </x:c>
      <x:c r="J10" s="58" t="s">
        <x:v>24</x:v>
      </x:c>
      <x:c r="K10" s="25"/>
      <x:c r="L10" s="46" t="s">
        <x:v>25</x:v>
      </x:c>
      <x:c r="M10" s="333" t="str">
        <x:v>Proyecto académico sin cliente externo</x:v>
      </x:c>
      <x:c r="N10" s="3"/>
      <x:c r="O10" s="3"/>
      <x:c r="P10" s="3"/>
      <x:c r="Q10" s="60" t="str">
        <x:v>Michael Ibáñez</x:v>
      </x:c>
      <x:c r="R10" s="61" t="str">
        <x:v>Desarrollador Junior</x:v>
      </x:c>
      <x:c r="S10" s="269" t="n">
        <x:v>1050000</x:v>
      </x:c>
      <x:c r="T10" s="336" t="n">
        <x:v>5769.2307692307695</x:v>
      </x:c>
      <x:c r="U10" s="60" t="str">
        <x:v>/H</x:v>
      </x:c>
    </x:row>
    <x:row r="11">
      <x:c r="B11" s="64" t="s">
        <x:v>26</x:v>
      </x:c>
      <x:c r="C11" s="316" t="n">
        <x:v>0</x:v>
      </x:c>
      <x:c r="D11" s="316" t="n">
        <x:v>0</x:v>
      </x:c>
      <x:c r="E11" s="317" t="n">
        <x:v>0</x:v>
      </x:c>
      <x:c r="F11" s="42"/>
      <x:c r="G11" s="43"/>
      <x:c r="H11" s="3"/>
      <x:c r="I11" s="56" t="s">
        <x:v>27</x:v>
      </x:c>
      <x:c r="J11" s="58" t="s">
        <x:v>28</x:v>
      </x:c>
      <x:c r="K11" s="25"/>
      <x:c r="L11" s="46" t="s">
        <x:v>29</x:v>
      </x:c>
      <x:c r="M11" s="333" t="str">
        <x:v>Sin ingresos comprometidos ni deuda</x:v>
      </x:c>
      <x:c r="N11" s="3"/>
      <x:c r="O11" s="3"/>
      <x:c r="P11" s="3"/>
      <x:c r="Q11" s="60"/>
      <x:c r="R11" s="61"/>
      <x:c r="S11" s="61"/>
      <x:c r="T11" s="61"/>
      <x:c r="U11" s="60"/>
    </x:row>
    <x:row r="12">
      <x:c r="B12" s="64" t="s">
        <x:v>30</x:v>
      </x:c>
      <x:c r="C12" s="318" t="n">
        <x:f t="shared" ref="C12:E12" si="1">SUM(C7:C11)</x:f>
        <x:v>0</x:v>
      </x:c>
      <x:c r="D12" s="318" t="n">
        <x:f t="shared" si="1">SUM(D7:D11)</x:f>
        <x:v>0</x:v>
      </x:c>
      <x:c r="E12" s="319" t="n">
        <x:f t="shared" si="1">SUM(E7:E11)</x:f>
        <x:v>0</x:v>
      </x:c>
      <x:c r="F12" s="3" t="s">
        <x:v>31</x:v>
      </x:c>
      <x:c r="G12" s="331" t="n">
        <x:f>SUM(C12:E12)</x:f>
        <x:v>0</x:v>
      </x:c>
      <x:c r="H12" s="3"/>
      <x:c r="I12" s="56" t="s">
        <x:v>32</x:v>
      </x:c>
      <x:c r="J12" s="71" t="n">
        <x:v>0</x:v>
      </x:c>
      <x:c r="K12" s="25"/>
      <x:c r="L12" s="46" t="s">
        <x:v>33</x:v>
      </x:c>
      <x:c r="M12" s="333" t="n">
        <x:f>G21</x:f>
        <x:v>6405570.297614286</x:v>
      </x:c>
      <x:c r="N12" s="3"/>
      <x:c r="O12" s="3"/>
      <x:c r="P12" s="3"/>
      <x:c r="Q12" s="73" t="s">
        <x:v>34</x:v>
      </x:c>
      <x:c r="R12" s="74" t="s">
        <x:v>35</x:v>
      </x:c>
      <x:c r="S12" s="75"/>
      <x:c r="T12" s="76"/>
      <x:c r="U12" s="60"/>
    </x:row>
    <x:row r="13">
      <x:c r="B13" s="77" t="s">
        <x:v>36</x:v>
      </x:c>
      <x:c r="C13" s="320" t="n">
        <x:f>C23</x:f>
        <x:v>-3777449.593406593</x:v>
      </x:c>
      <x:c r="D13" s="320" t="n">
        <x:f t="shared" ref="D13:E13" si="2">C13+D23</x:f>
        <x:v>-5072090.334395604</x:v>
      </x:c>
      <x:c r="E13" s="321" t="n">
        <x:f t="shared" si="2">D13+E23</x:f>
        <x:v>-6405570.297614286</x:v>
      </x:c>
      <x:c r="F13" s="3" t="s">
        <x:v>37</x:v>
      </x:c>
      <x:c r="G13" s="328" t="n">
        <x:f>E13</x:f>
        <x:v>-6405570.297614286</x:v>
      </x:c>
      <x:c r="H13" s="3"/>
      <x:c r="I13" s="82" t="s">
        <x:v>38</x:v>
      </x:c>
      <x:c r="J13" s="83" t="n">
        <x:v>0</x:v>
      </x:c>
      <x:c r="K13" s="25"/>
      <x:c r="L13" s="46" t="s">
        <x:v>39</x:v>
      </x:c>
      <x:c r="M13" s="333" t="n">
        <x:f>G12</x:f>
        <x:v>0</x:v>
      </x:c>
      <x:c r="N13" s="3"/>
      <x:c r="O13" s="3"/>
      <x:c r="P13" s="3"/>
      <x:c r="Q13" s="60" t="s">
        <x:v>40</x:v>
      </x:c>
      <x:c r="R13" s="273" t="n">
        <x:f>SUM(S7:S10)</x:f>
        <x:v>5321633</x:v>
      </x:c>
      <x:c r="S13" s="84"/>
      <x:c r="T13" s="61"/>
      <x:c r="U13" s="60"/>
    </x:row>
    <x:row r="14">
      <x:c r="B14" s="3"/>
      <x:c r="C14" s="277"/>
      <x:c r="D14" s="277"/>
      <x:c r="E14" s="277"/>
      <x:c r="F14" s="3"/>
      <x:c r="G14" s="277"/>
      <x:c r="H14" s="3"/>
      <x:c r="I14" s="85" t="s">
        <x:v>41</x:v>
      </x:c>
      <x:c r="J14" s="71" t="n">
        <x:v>0</x:v>
      </x:c>
      <x:c r="K14" s="25"/>
      <x:c r="L14" s="46" t="s">
        <x:v>42</x:v>
      </x:c>
      <x:c r="M14" s="246" t="n">
        <x:f>Hoja1!B16</x:f>
        <x:v>0.08</x:v>
      </x:c>
      <x:c r="N14" s="354" t="n">
        <x:f>M14/100</x:f>
        <x:v>0.0008</x:v>
      </x:c>
      <x:c r="O14" s="3"/>
      <x:c r="P14" s="3"/>
      <x:c r="Q14" s="90" t="s">
        <x:v>43</x:v>
      </x:c>
      <x:c r="R14" s="273" t="n">
        <x:v>182</x:v>
      </x:c>
      <x:c r="S14" s="91"/>
      <x:c r="T14" s="61"/>
      <x:c r="U14" s="60"/>
    </x:row>
    <x:row r="15">
      <x:c r="B15" s="92" t="s">
        <x:v>44</x:v>
      </x:c>
      <x:c r="C15" s="322"/>
      <x:c r="D15" s="322"/>
      <x:c r="E15" s="323"/>
      <x:c r="F15" s="3"/>
      <x:c r="G15" s="277"/>
      <x:c r="H15" s="3"/>
      <x:c r="I15" s="85" t="s">
        <x:v>45</x:v>
      </x:c>
      <x:c r="J15" s="71" t="n">
        <x:v>0</x:v>
      </x:c>
      <x:c r="K15" s="96"/>
      <x:c r="L15" s="46" t="s">
        <x:v>46</x:v>
      </x:c>
      <x:c r="M15" s="334" t="n">
        <x:f t="array" ref="M15">M6+M7/(1+M14)^1+M8/(1+M14)^2+M9/(1+M14)^3</x:f>
        <x:v>-1058559.387557379</x:v>
      </x:c>
      <x:c r="N15" s="3"/>
      <x:c r="O15" s="3"/>
      <x:c r="P15" s="3"/>
      <x:c r="Q15" s="60" t="s">
        <x:v>47</x:v>
      </x:c>
      <x:c r="R15" s="269" t="n">
        <x:f>C17</x:f>
        <x:v>3216371.593406593</x:v>
      </x:c>
      <x:c r="S15" s="61"/>
      <x:c r="T15" s="61"/>
      <x:c r="U15" s="60"/>
    </x:row>
    <x:row r="16">
      <x:c r="B16" s="101" t="s">
        <x:v>48</x:v>
      </x:c>
      <x:c r="C16" s="314">
        <x:v>0.0</x:v>
      </x:c>
      <x:c r="D16" s="314">
        <x:v>0.0</x:v>
      </x:c>
      <x:c r="E16" s="315">
        <x:v>0.0</x:v>
      </x:c>
      <x:c r="F16" s="3"/>
      <x:c r="G16" s="277"/>
      <x:c r="H16" s="3"/>
      <x:c r="I16" s="85" t="s">
        <x:v>49</x:v>
      </x:c>
      <x:c r="J16" s="71" t="n">
        <x:v>0</x:v>
      </x:c>
      <x:c r="K16" s="25"/>
      <x:c r="L16" s="46" t="s">
        <x:v>50</x:v>
      </x:c>
      <x:c r="M16" s="102" t="str">
        <x:v>No aplica: no existen ingresos comprometidos</x:v>
      </x:c>
      <x:c r="N16" s="3"/>
      <x:c r="O16" s="3"/>
      <x:c r="P16" s="3"/>
      <x:c r="Q16" s="103"/>
      <x:c r="R16" s="27"/>
      <x:c r="S16" s="27"/>
      <x:c r="T16" s="27"/>
      <x:c r="U16" s="28"/>
    </x:row>
    <x:row r="17">
      <x:c r="B17" s="101" t="s">
        <x:v>51</x:v>
      </x:c>
      <x:c r="C17" s="324" t="n">
        <x:f>S7/$R$14*110+S8/$R$14*110+S9/$R$14*110+S10/$R$14*110</x:f>
        <x:v>3216371.593406593</x:v>
      </x:c>
      <x:c r="D17" s="325" t="n">
        <x:f>S7*(1+Hoja1!$B$14)/$R$14*20+S8*(1+Hoja1!$B$14)/$R$14*20+S9*(1+Hoja1!$B$14)/$R$14*35+S10*(1+Hoja1!$B$14)/$R$14*35</x:f>
        <x:v>780607.910989011</x:v>
      </x:c>
      <x:c r="E17" s="325" t="n">
        <x:f>S7*(1+Hoja1!$B$14)^2/$R$14*20+S8*(1+Hoja1!$B$14)^2/$R$14*20+S9*(1+Hoja1!$B$14)^2/$R$14*35+S10*(1+Hoja1!$B$14)^2/$R$14*35</x:f>
        <x:v>804026.1483186812</x:v>
      </x:c>
      <x:c r="F17" s="3"/>
      <x:c r="G17" s="277"/>
      <x:c r="H17" s="3"/>
      <x:c r="I17" s="106" t="s">
        <x:v>52</x:v>
      </x:c>
      <x:c r="J17" s="107" t="str">
        <x:v>Sin deuda; proyecto académico autofinanciado en tiempo/recursos propios</x:v>
      </x:c>
      <x:c r="K17" s="25"/>
      <x:c r="L17" s="3"/>
      <x:c r="M17" s="3"/>
      <x:c r="N17" s="3"/>
      <x:c r="O17" s="3"/>
      <x:c r="P17" s="3"/>
      <x:c r="Q17" s="108"/>
      <x:c r="R17" s="109"/>
      <x:c r="S17" s="109"/>
      <x:c r="T17" s="109"/>
      <x:c r="U17" s="109"/>
    </x:row>
    <x:row r="18">
      <x:c r="B18" s="101" t="s">
        <x:v>53</x:v>
      </x:c>
      <x:c r="C18" s="324" t="n">
        <x:v>293010</x:v>
      </x:c>
      <x:c r="D18" s="324" t="n">
        <x:v>301800.3</x:v>
      </x:c>
      <x:c r="E18" s="325" t="n">
        <x:v>310854.309</x:v>
      </x:c>
      <x:c r="F18" s="3"/>
      <x:c r="G18" s="277"/>
      <x:c r="H18" s="3"/>
      <x:c r="I18" s="3"/>
      <x:c r="J18" s="3"/>
      <x:c r="K18" s="3"/>
      <x:c r="L18" s="3"/>
      <x:c r="M18" s="3"/>
      <x:c r="N18" s="3"/>
      <x:c r="O18" s="3"/>
      <x:c r="P18" s="3"/>
      <x:c r="Q18" s="48"/>
      <x:c r="R18" s="48"/>
      <x:c r="S18" s="112"/>
      <x:c r="T18" s="91"/>
      <x:c r="U18" s="48"/>
    </x:row>
    <x:row r="19">
      <x:c r="B19" s="101" t="s">
        <x:v>54</x:v>
      </x:c>
      <x:c r="C19" s="314" t="n">
        <x:v>0</x:v>
      </x:c>
      <x:c r="D19" s="314" t="n">
        <x:v>0</x:v>
      </x:c>
      <x:c r="E19" s="315" t="n">
        <x:v>0</x:v>
      </x:c>
      <x:c r="F19" s="3"/>
      <x:c r="G19" s="277"/>
      <x:c r="H19" s="3"/>
      <x:c r="I19" s="3"/>
      <x:c r="J19" s="3"/>
      <x:c r="K19" s="3"/>
      <x:c r="L19" s="23" t="s">
        <x:v>55</x:v>
      </x:c>
      <x:c r="M19" s="22"/>
      <x:c r="N19" s="3"/>
      <x:c r="O19" s="3"/>
      <x:c r="P19" s="3"/>
      <x:c r="Q19" s="60"/>
      <x:c r="R19" s="60"/>
      <x:c r="S19" s="113"/>
      <x:c r="T19" s="114"/>
      <x:c r="U19" s="60"/>
    </x:row>
    <x:row r="20">
      <x:c r="B20" s="101" t="s">
        <x:v>56</x:v>
      </x:c>
      <x:c r="C20" s="324" t="n">
        <x:v>268068</x:v>
      </x:c>
      <x:c r="D20" s="324" t="n">
        <x:v>212232.53</x:v>
      </x:c>
      <x:c r="E20" s="325" t="n">
        <x:v>218599.5059</x:v>
      </x:c>
      <x:c r="F20" s="3"/>
      <x:c r="G20" s="332"/>
      <x:c r="H20" s="3"/>
      <x:c r="I20" s="3"/>
      <x:c r="J20" s="3"/>
      <x:c r="K20" s="25"/>
      <x:c r="L20" s="116" t="s">
        <x:v>57</x:v>
      </x:c>
      <x:c r="M20" s="350" t="s">
        <x:v>58</x:v>
      </x:c>
      <x:c r="N20" s="3"/>
      <x:c r="O20" s="3"/>
      <x:c r="P20" s="3"/>
      <x:c r="Q20" s="60"/>
      <x:c r="R20" s="48"/>
      <x:c r="S20" s="118"/>
      <x:c r="T20" s="114"/>
      <x:c r="U20" s="60"/>
    </x:row>
    <x:row r="21" ht="15.75" customHeight="1">
      <x:c r="B21" s="119" t="s">
        <x:v>59</x:v>
      </x:c>
      <x:c r="C21" s="326" t="n">
        <x:f t="shared" ref="C21:E21" si="3">SUM(C16:C20)</x:f>
        <x:v>3777449.593406593</x:v>
      </x:c>
      <x:c r="D21" s="326" t="n">
        <x:f t="shared" si="3">SUM(D16:D20)</x:f>
        <x:v>1294640.740989011</x:v>
      </x:c>
      <x:c r="E21" s="327" t="n">
        <x:f t="shared" si="3">SUM(E16:E20)</x:f>
        <x:v>1333479.9632186813</x:v>
      </x:c>
      <x:c r="F21" s="3" t="s">
        <x:v>60</x:v>
      </x:c>
      <x:c r="G21" s="328" t="n">
        <x:f>SUM(C21:E21)</x:f>
        <x:v>6405570.297614286</x:v>
      </x:c>
      <x:c r="H21" s="3"/>
      <x:c r="I21" s="3"/>
      <x:c r="J21" s="3"/>
      <x:c r="K21" s="89"/>
      <x:c r="L21" s="122" t="s">
        <x:v>61</x:v>
      </x:c>
      <x:c r="M21" s="351" t="n">
        <x:v>0</x:v>
      </x:c>
      <x:c r="N21" s="3"/>
      <x:c r="O21" s="3"/>
      <x:c r="P21" s="3"/>
      <x:c r="Q21" s="3"/>
      <x:c r="R21" s="3"/>
      <x:c r="S21" s="124"/>
      <x:c r="T21" s="125"/>
      <x:c r="U21" s="3"/>
    </x:row>
    <x:row r="22" ht="15.75" customHeight="1">
      <x:c r="B22" s="3"/>
      <x:c r="C22" s="328"/>
      <x:c r="D22" s="328"/>
      <x:c r="E22" s="328"/>
      <x:c r="F22" s="3"/>
      <x:c r="G22" s="331"/>
      <x:c r="H22" s="3"/>
      <x:c r="I22" s="3"/>
      <x:c r="J22" s="3"/>
      <x:c r="K22" s="3"/>
      <x:c r="L22" s="126" t="s">
        <x:v>62</x:v>
      </x:c>
      <x:c r="M22" s="352" t="n">
        <x:v>0</x:v>
      </x:c>
      <x:c r="N22" s="3"/>
      <x:c r="O22" s="3"/>
      <x:c r="P22" s="3"/>
      <x:c r="Q22" s="3"/>
      <x:c r="R22" s="3"/>
      <x:c r="S22" s="3"/>
      <x:c r="T22" s="20"/>
      <x:c r="U22" s="3"/>
    </x:row>
    <x:row r="23" ht="15.75" customHeight="1">
      <x:c r="B23" s="128" t="s">
        <x:v>63</x:v>
      </x:c>
      <x:c r="C23" s="329" t="n">
        <x:f t="shared" ref="C23:E23" si="4">C12-C21</x:f>
        <x:v>-3777449.593406593</x:v>
      </x:c>
      <x:c r="D23" s="329" t="n">
        <x:f t="shared" si="4">D12-D21</x:f>
        <x:v>-1294640.740989011</x:v>
      </x:c>
      <x:c r="E23" s="330" t="n">
        <x:f t="shared" si="4">E12-E21</x:f>
        <x:v>-1333479.9632186813</x:v>
      </x:c>
      <x:c r="F23" s="3" t="s">
        <x:v>64</x:v>
      </x:c>
      <x:c r="G23" s="328" t="n">
        <x:f>SUM(C23:E23)</x:f>
        <x:v>-6405570.297614286</x:v>
      </x:c>
      <x:c r="H23" s="3"/>
      <x:c r="I23" s="3"/>
      <x:c r="J23" s="3"/>
      <x:c r="K23" s="3"/>
      <x:c r="L23" s="131" t="s">
        <x:v>65</x:v>
      </x:c>
      <x:c r="M23" s="353" t="n">
        <x:f>SUM(M21:M22)</x:f>
        <x:v>0</x:v>
      </x:c>
      <x:c r="N23" s="3"/>
      <x:c r="O23" s="3"/>
      <x:c r="P23" s="3"/>
      <x:c r="Q23" s="3"/>
      <x:c r="R23" s="3"/>
      <x:c r="S23" s="3"/>
      <x:c r="T23" s="3"/>
      <x:c r="U23" s="3"/>
    </x:row>
    <x:row r="24" ht="15.75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133" t="s">
        <x:v>10</x:v>
      </x:c>
      <x:c r="R24" s="133" t="s">
        <x:v>66</x:v>
      </x:c>
      <x:c r="S24" s="133" t="s">
        <x:v>67</x:v>
      </x:c>
      <x:c r="T24" s="133" t="s">
        <x:v>68</x:v>
      </x:c>
      <x:c r="U24" s="133" t="s">
        <x:v>14</x:v>
      </x:c>
    </x:row>
    <x:row r="25" ht="15.75" customHeight="1">
      <x:c r="B25" s="134" t="s">
        <x:v>69</x:v>
      </x:c>
      <x:c r="C25" s="135" t="str">
        <x:v>GitHub Free + GitHub Actions (repo público / plan actual)</x:v>
      </x:c>
      <x:c r="D25" s="27"/>
      <x:c r="E25" s="27"/>
      <x:c r="F25" s="28"/>
      <x:c r="G25" s="337" t="n">
        <x:v>0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 t="str">
        <x:v>Fernanda Poblete</x:v>
      </x:c>
      <x:c r="R25" s="3" t="str">
        <x:v>Product Owner</x:v>
      </x:c>
      <x:c r="S25" s="355" t="n">
        <x:v>20</x:v>
      </x:c>
      <x:c r="T25" s="349" t="n">
        <x:v>182543.11729670328</x:v>
      </x:c>
      <x:c r="U25" s="3" t="str">
        <x:v>CLP</x:v>
      </x:c>
    </x:row>
    <x:row r="26" ht="15.75" customHeight="1">
      <x:c r="B26" s="138"/>
      <x:c r="C26" s="139" t="s">
        <x:v>70</x:v>
      </x:c>
      <x:c r="D26" s="27"/>
      <x:c r="E26" s="27"/>
      <x:c r="F26" s="28"/>
      <x:c r="G26" s="338" t="n">
        <x:v>0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 t="str">
        <x:v>Catalina Gutiérrez</x:v>
      </x:c>
      <x:c r="R26" s="3" t="str">
        <x:v>Scrum Master</x:v>
      </x:c>
      <x:c r="S26" s="355" t="n">
        <x:v>20</x:v>
      </x:c>
      <x:c r="T26" s="349" t="n">
        <x:v>193042.6464065934</x:v>
      </x:c>
      <x:c r="U26" s="3" t="str">
        <x:v>CLP</x:v>
      </x:c>
    </x:row>
    <x:row r="27" ht="15.75" customHeight="1">
      <x:c r="B27" s="138"/>
      <x:c r="C27" s="139" t="s">
        <x:v>71</x:v>
      </x:c>
      <x:c r="D27" s="27"/>
      <x:c r="E27" s="27"/>
      <x:c r="F27" s="28"/>
      <x:c r="G27" s="338" t="n">
        <x:v>0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 t="str">
        <x:v>Benjamín Vallejos</x:v>
      </x:c>
      <x:c r="R27" s="3" t="str">
        <x:v>Desarrollador Junior</x:v>
      </x:c>
      <x:c r="S27" s="355" t="n">
        <x:v>35</x:v>
      </x:c>
      <x:c r="T27" s="349" t="n">
        <x:v>214220.1923076923</x:v>
      </x:c>
      <x:c r="U27" s="3" t="str">
        <x:v>CLP</x:v>
      </x:c>
    </x:row>
    <x:row r="28" ht="15.75" customHeight="1">
      <x:c r="B28" s="138"/>
      <x:c r="C28" s="141" t="s">
        <x:v>72</x:v>
      </x:c>
      <x:c r="D28" s="27"/>
      <x:c r="E28" s="27"/>
      <x:c r="F28" s="28"/>
      <x:c r="G28" s="338" t="n">
        <x:v>0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 t="str">
        <x:v>Michael Ibáñez</x:v>
      </x:c>
      <x:c r="R28" s="3" t="str">
        <x:v>Desarrollador Junior</x:v>
      </x:c>
      <x:c r="S28" s="355" t="n">
        <x:v>35</x:v>
      </x:c>
      <x:c r="T28" s="349" t="n">
        <x:v>214220.1923076923</x:v>
      </x:c>
      <x:c r="U28" s="3" t="str">
        <x:v>CLP</x:v>
      </x:c>
    </x:row>
    <x:row r="29" ht="15.75" customHeight="1">
      <x:c r="B29" s="138"/>
      <x:c r="C29" s="141" t="s">
        <x:v>73</x:v>
      </x:c>
      <x:c r="D29" s="27"/>
      <x:c r="E29" s="27"/>
      <x:c r="F29" s="28"/>
      <x:c r="G29" s="339" t="n">
        <x:v>0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43"/>
      <x:c r="T29" s="277"/>
      <x:c r="U29" s="3"/>
    </x:row>
    <x:row r="30" ht="15.75" customHeight="1">
      <x:c r="B30" s="138"/>
      <x:c r="C30" s="141" t="s">
        <x:v>74</x:v>
      </x:c>
      <x:c r="D30" s="27"/>
      <x:c r="E30" s="27"/>
      <x:c r="F30" s="28"/>
      <x:c r="G30" s="340" t="n">
        <x:v>0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 t="s">
        <x:v>75</x:v>
      </x:c>
      <x:c r="S30" s="43"/>
      <x:c r="T30" s="328" t="n">
        <x:f>SUM(T25:T28)</x:f>
        <x:v>804026.1483186812</x:v>
      </x:c>
      <x:c r="U30" s="3"/>
    </x:row>
    <x:row r="31" ht="15.75" customHeight="1">
      <x:c r="B31" s="138"/>
      <x:c r="C31" s="141" t="s">
        <x:v>76</x:v>
      </x:c>
      <x:c r="D31" s="27"/>
      <x:c r="E31" s="27"/>
      <x:c r="F31" s="28"/>
      <x:c r="G31" s="341" t="n">
        <x:v>0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43"/>
      <x:c r="T31" s="43"/>
      <x:c r="U31" s="3"/>
    </x:row>
    <x:row r="32" ht="15.75" customHeight="1">
      <x:c r="B32" s="138"/>
      <x:c r="C32" s="141" t="s">
        <x:v>77</x:v>
      </x:c>
      <x:c r="D32" s="27"/>
      <x:c r="E32" s="27"/>
      <x:c r="F32" s="28"/>
      <x:c r="G32" s="340" t="n">
        <x:v>0</x:v>
      </x:c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5.75" customHeight="1">
      <x:c r="B33" s="138"/>
      <x:c r="C33" s="141" t="str">
        <x:v>Figma Education/Starter para prototipado</x:v>
      </x:c>
      <x:c r="D33" s="27"/>
      <x:c r="E33" s="27"/>
      <x:c r="F33" s="28"/>
      <x:c r="G33" s="340" t="n">
        <x:v>0</x:v>
      </x:c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5.75" customHeight="1">
      <x:c r="B34" s="145"/>
      <x:c r="C34" s="139" t="str">
        <x:v>SSL/HTTPS y backups incluidos en la infraestructura utilizada</x:v>
      </x:c>
      <x:c r="D34" s="27"/>
      <x:c r="E34" s="27"/>
      <x:c r="F34" s="28"/>
      <x:c r="G34" s="340" t="n">
        <x:v>0</x:v>
      </x:c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5.75" customHeight="1">
      <x:c r="B35" s="3"/>
      <x:c r="C35" s="146" t="str">
        <x:v>Supabase Pro — 12 meses</x:v>
      </x:c>
      <x:c r="D35" s="147"/>
      <x:c r="E35" s="147"/>
      <x:c r="F35" s="148"/>
      <x:c r="G35" s="342" t="n">
        <x:v>283020</x:v>
      </x:c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5.75" customHeight="1">
      <x:c r="B36" s="3"/>
      <x:c r="C36" s="150" t="str">
        <x:v>Dominio .CL — 1 año</x:v>
      </x:c>
      <x:c r="D36" s="150"/>
      <x:c r="E36" s="150"/>
      <x:c r="F36" s="150"/>
      <x:c r="G36" s="343" t="n">
        <x:v>9990</x:v>
      </x:c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5.75" customHeight="1">
      <x:c r="B37" s="3"/>
      <x:c r="C37" s="150" t="str">
        <x:v>Validación profesional LSCh — 4 h</x:v>
      </x:c>
      <x:c r="D37" s="150"/>
      <x:c r="E37" s="150"/>
      <x:c r="F37" s="150"/>
      <x:c r="G37" s="343" t="n">
        <x:v>168068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5.75" customHeight="1">
      <x:c r="B38" s="3"/>
      <x:c r="C38" s="150" t="str">
        <x:v>Incentivos pruebas de usabilidad — 5 personas</x:v>
      </x:c>
      <x:c r="D38" s="150"/>
      <x:c r="E38" s="150"/>
      <x:c r="F38" s="150"/>
      <x:c r="G38" s="343" t="n">
        <x:v>50000</x:v>
      </x:c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5.75" customHeight="1">
      <x:c r="B39" s="134" t="s">
        <x:v>78</x:v>
      </x:c>
      <x:c r="C39" s="135" t="str">
        <x:v>Logística validación — transporte, materiales y colaciones</x:v>
      </x:c>
      <x:c r="D39" s="27"/>
      <x:c r="E39" s="27"/>
      <x:c r="F39" s="28"/>
      <x:c r="G39" s="337" t="n">
        <x:v>50000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5.75" customHeight="1">
      <x:c r="B40" s="138"/>
      <x:c r="C40" s="141" t="str">
        <x:v>Apoyo Oficina Inclusión DIDECO Huechuraba — convocatoria</x:v>
      </x:c>
      <x:c r="D40" s="27"/>
      <x:c r="E40" s="27"/>
      <x:c r="F40" s="28"/>
      <x:c r="G40" s="338" t="n">
        <x:v>0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5.75" customHeight="1">
      <x:c r="B41" s="138"/>
      <x:c r="C41" s="141" t="str">
        <x:v>4 notebooks personales / infraestructura Duoc UC</x:v>
      </x:c>
      <x:c r="D41" s="27"/>
      <x:c r="E41" s="27"/>
      <x:c r="F41" s="28"/>
      <x:c r="G41" s="344" t="n">
        <x:v>0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5.75" customHeight="1">
      <x:c r="B42" s="138"/>
      <x:c r="C42" s="141" t="str">
        <x:v>Dispositivos Android personales para pruebas</x:v>
      </x:c>
      <x:c r="D42" s="27"/>
      <x:c r="E42" s="27"/>
      <x:c r="F42" s="28"/>
      <x:c r="G42" s="345" t="n">
        <x:v>0</x:v>
      </x:c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5.75" customHeight="1">
      <x:c r="B43" s="138"/>
      <x:c r="C43" s="141" t="s">
        <x:v>79</x:v>
      </x:c>
      <x:c r="D43" s="27"/>
      <x:c r="E43" s="27"/>
      <x:c r="F43" s="28"/>
      <x:c r="G43" s="344" t="n">
        <x:v>561078</x:v>
      </x:c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5.75" customHeight="1">
      <x:c r="B44" s="138"/>
      <x:c r="C44" s="141" t="s">
        <x:v>80</x:v>
      </x:c>
      <x:c r="D44" s="27"/>
      <x:c r="E44" s="27"/>
      <x:c r="F44" s="28"/>
      <x:c r="G44" s="346" t="n">
        <x:v>0</x:v>
      </x:c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5.75" customHeight="1">
      <x:c r="B45" s="145"/>
      <x:c r="C45" s="141" t="str">
        <x:v>Validación LSCh (3 h) + pruebas + materiales</x:v>
      </x:c>
      <x:c r="D45" s="27"/>
      <x:c r="E45" s="27"/>
      <x:c r="F45" s="28"/>
      <x:c r="G45" s="345" t="n">
        <x:v>212232.53</x:v>
      </x:c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5.75" customHeight="1">
      <x:c r="B46" s="3"/>
      <x:c r="C46" s="155" t="str">
        <x:v>Supabase Pro + dominio .CL</x:v>
      </x:c>
      <x:c r="D46" s="27"/>
      <x:c r="E46" s="27"/>
      <x:c r="F46" s="28"/>
      <x:c r="G46" s="347" t="n">
        <x:v>301800.3</x:v>
      </x:c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5.75" customHeight="1">
      <x:c r="B47" s="3"/>
      <x:c r="C47" s="3" t="str">
        <x:v>Validación LSCh + pruebas + logística</x:v>
      </x:c>
      <x:c r="D47" s="3"/>
      <x:c r="E47" s="3"/>
      <x:c r="F47" s="3"/>
      <x:c r="G47" s="277" t="n">
        <x:v>212232.53</x:v>
      </x:c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5.75" customHeight="1">
      <x:c r="B48" s="98" t="s">
        <x:v>81</x:v>
      </x:c>
      <x:c r="C48" s="157" t="str">
        <x:v>Mantenimiento app (costo de oportunidad del equipo)</x:v>
      </x:c>
      <x:c r="G48" s="277" t="n">
        <x:v>780607.910989011</x:v>
      </x:c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5.75" customHeight="1">
      <x:c r="B49" s="98" t="s">
        <x:v>82</x:v>
      </x:c>
      <x:c r="C49" s="157" t="s">
        <x:v>83</x:v>
      </x:c>
      <x:c r="G49" s="277" t="n">
        <x:v>0</x:v>
      </x:c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5.75" customHeight="1">
      <x:c r="C50" s="158" t="s">
        <x:v>84</x:v>
      </x:c>
      <x:c r="G50" s="348" t="n">
        <x:v>1294640.740989011</x:v>
      </x:c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U1"/>
    <x:mergeCell ref="B2:U2"/>
    <x:mergeCell ref="B4:G4"/>
    <x:mergeCell ref="C5:E5"/>
    <x:mergeCell ref="I5:J5"/>
    <x:mergeCell ref="L5:M5"/>
    <x:mergeCell ref="Q5:U5"/>
    <x:mergeCell ref="C28:F28"/>
    <x:mergeCell ref="C29:F29"/>
    <x:mergeCell ref="C30:F30"/>
    <x:mergeCell ref="C31:F31"/>
    <x:mergeCell ref="B15:E15"/>
    <x:mergeCell ref="Q16:U16"/>
    <x:mergeCell ref="L19:M19"/>
    <x:mergeCell ref="B25:B34"/>
    <x:mergeCell ref="C25:F25"/>
    <x:mergeCell ref="C26:F26"/>
    <x:mergeCell ref="C27:F27"/>
    <x:mergeCell ref="C34:F34"/>
    <x:mergeCell ref="C42:F42"/>
    <x:mergeCell ref="C43:F43"/>
    <x:mergeCell ref="C44:F44"/>
    <x:mergeCell ref="C45:F45"/>
    <x:mergeCell ref="C46:F46"/>
    <x:mergeCell ref="C48:F48"/>
    <x:mergeCell ref="C49:F49"/>
    <x:mergeCell ref="C32:F32"/>
    <x:mergeCell ref="C33:F33"/>
    <x:mergeCell ref="C35:F35"/>
    <x:mergeCell ref="B39:B45"/>
    <x:mergeCell ref="C39:F39"/>
    <x:mergeCell ref="C40:F40"/>
    <x:mergeCell ref="C41:F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0.710000038146973" customWidth="1"/>
    <x:col min="2" max="2" width="34" customWidth="1"/>
    <x:col min="3" max="5" width="15" customWidth="1"/>
    <x:col min="6" max="6" width="28" customWidth="1"/>
    <x:col min="7" max="7" width="16" customWidth="1"/>
    <x:col min="9" max="14" width="18" customWidth="1"/>
    <x:col min="15" max="16" width="10.710000038146973" customWidth="1"/>
    <x:col min="17" max="17" width="24" customWidth="1"/>
    <x:col min="18" max="18" width="34" customWidth="1"/>
    <x:col min="19" max="20" width="18" customWidth="1"/>
    <x:col min="21" max="21" width="10" customWidth="1"/>
  </x:cols>
  <x:sheetData>
    <x:row r="1" ht="15" customHeight="1">
      <x:c r="B1" s="2" t="str">
        <x:v>FORMULARIO FLUJO DE CAJA — SIGNY (CLP) — PRESUPUESTO ALTO — PILOTO PROFESIONAL</x:v>
      </x:c>
    </x:row>
    <x:row r="2" ht="15" customHeight="1">
      <x:c r="B2" s="4" t="str">
        <x:v>Signy — Presupuesto de alto costo. Mayor dedicación del equipo, servicios pagados adicionales, validación ampliada y preparación para publicación Android. Todos los montos en CLP.</x:v>
      </x:c>
    </x:row>
    <x:row r="3" ht="33" customHeight="1">
      <x:c r="B3" s="5"/>
      <x:c r="C3" s="5"/>
      <x:c r="D3" s="5"/>
      <x:c r="E3" s="5"/>
      <x:c r="F3" s="5"/>
      <x:c r="G3" s="5"/>
      <x:c r="H3" s="5"/>
      <x:c r="I3" s="7" t="s">
        <x:v>0</x:v>
      </x:c>
      <x:c r="J3" s="8"/>
      <x:c r="K3" s="8"/>
      <x:c r="L3" s="8"/>
      <x:c r="M3" s="8"/>
      <x:c r="N3" s="8"/>
      <x:c r="O3" s="8"/>
      <x:c r="P3" s="3"/>
      <x:c r="Q3" s="3"/>
      <x:c r="R3" s="3"/>
      <x:c r="S3" s="3"/>
      <x:c r="T3" s="3"/>
      <x:c r="U3" s="3"/>
    </x:row>
    <x:row r="4" ht="26.25" customHeight="1">
      <x:c r="B4" s="12" t="s">
        <x:v>1</x:v>
      </x:c>
      <x:c r="H4" s="3"/>
      <x:c r="I4" s="13" t="s">
        <x:v>2</x:v>
      </x:c>
      <x:c r="J4" s="3" t="str">
        <x:v>Oficina de Inclusión Social para Personas con Discapacidad</x:v>
      </x:c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15" customHeight="1">
      <x:c r="B5" s="3"/>
      <x:c r="C5" s="15" t="s">
        <x:v>3</x:v>
      </x:c>
      <x:c r="D5" s="16"/>
      <x:c r="E5" s="17"/>
      <x:c r="F5" s="18"/>
      <x:c r="G5" s="19"/>
      <x:c r="H5" s="3"/>
      <x:c r="I5" s="21" t="s">
        <x:v>4</x:v>
      </x:c>
      <x:c r="J5" s="22" t="str">
        <x:v>Dirección de Desarrollo Comunitario (DIDECO) de Huechuraba</x:v>
      </x:c>
      <x:c r="K5" s="3"/>
      <x:c r="L5" s="23"/>
      <x:c r="M5" s="24"/>
      <x:c r="N5" s="18"/>
      <x:c r="O5" s="3"/>
      <x:c r="P5" s="3"/>
      <x:c r="Q5" s="26" t="s">
        <x:v>5</x:v>
      </x:c>
      <x:c r="R5" s="27"/>
      <x:c r="S5" s="27"/>
      <x:c r="T5" s="27"/>
      <x:c r="U5" s="28"/>
    </x:row>
    <x:row r="6" ht="39" customHeight="1">
      <x:c r="B6" s="3"/>
      <x:c r="C6" s="29" t="s">
        <x:v>6</x:v>
      </x:c>
      <x:c r="D6" s="30" t="s">
        <x:v>7</x:v>
      </x:c>
      <x:c r="E6" s="31" t="s">
        <x:v>8</x:v>
      </x:c>
      <x:c r="F6" s="32"/>
      <x:c r="G6" s="33"/>
      <x:c r="H6" s="3"/>
      <x:c r="I6" s="34" t="s">
        <x:v>9</x:v>
      </x:c>
      <x:c r="J6" s="35" t="str">
        <x:v>No monetario — vinculación con personas sordas para pruebas y validación</x:v>
      </x:c>
      <x:c r="K6" s="25"/>
      <x:c r="L6" s="36"/>
      <x:c r="M6" s="37"/>
      <x:c r="N6" s="3"/>
      <x:c r="O6" s="3"/>
      <x:c r="P6" s="3"/>
      <x:c r="Q6" s="38" t="s">
        <x:v>10</x:v>
      </x:c>
      <x:c r="R6" s="39" t="s">
        <x:v>11</x:v>
      </x:c>
      <x:c r="S6" s="39" t="s">
        <x:v>12</x:v>
      </x:c>
      <x:c r="T6" s="39" t="s">
        <x:v>13</x:v>
      </x:c>
      <x:c r="U6" s="39" t="s">
        <x:v>14</x:v>
      </x:c>
    </x:row>
    <x:row r="7" ht="15" customHeight="1">
      <x:c r="B7" s="40" t="s">
        <x:v>15</x:v>
      </x:c>
      <x:c r="C7" s="312" t="n">
        <x:v>0</x:v>
      </x:c>
      <x:c r="D7" s="312" t="n">
        <x:v>0</x:v>
      </x:c>
      <x:c r="E7" s="313" t="n">
        <x:v>0</x:v>
      </x:c>
      <x:c r="F7" s="42"/>
      <x:c r="G7" s="43"/>
      <x:c r="H7" s="3"/>
      <x:c r="I7" s="44" t="s">
        <x:v>16</x:v>
      </x:c>
      <x:c r="J7" s="45" t="n">
        <x:v>0</x:v>
      </x:c>
      <x:c r="K7" s="25" t="str">
        <x:v>CLP</x:v>
      </x:c>
      <x:c r="L7" s="46"/>
      <x:c r="M7" s="47"/>
      <x:c r="N7" s="3"/>
      <x:c r="O7" s="3"/>
      <x:c r="P7" s="3"/>
      <x:c r="Q7" s="48" t="str">
        <x:v>Fernanda Poblete</x:v>
      </x:c>
      <x:c r="R7" s="49" t="str">
        <x:v>Product Owner / Gestión de Proyectos</x:v>
      </x:c>
      <x:c r="S7" s="273" t="n">
        <x:v>1878943.2</x:v>
      </x:c>
      <x:c r="T7" s="335" t="n">
        <x:v>10323.863736263736</x:v>
      </x:c>
      <x:c r="U7" s="48" t="str">
        <x:v>/H</x:v>
      </x:c>
    </x:row>
    <x:row r="8" ht="26.25" customHeight="1">
      <x:c r="B8" s="52" t="s">
        <x:v>17</x:v>
      </x:c>
      <x:c r="C8" s="314" t="n">
        <x:v>0</x:v>
      </x:c>
      <x:c r="D8" s="314" t="n">
        <x:v>0</x:v>
      </x:c>
      <x:c r="E8" s="315" t="n">
        <x:v>0</x:v>
      </x:c>
      <x:c r="F8" s="42"/>
      <x:c r="G8" s="43"/>
      <x:c r="H8" s="3"/>
      <x:c r="I8" s="44" t="s">
        <x:v>18</x:v>
      </x:c>
      <x:c r="J8" s="55" t="str">
        <x:v>No es cliente, patrocinador ni fuente de financiamiento</x:v>
      </x:c>
      <x:c r="K8" s="25"/>
      <x:c r="L8" s="46"/>
      <x:c r="M8" s="47"/>
      <x:c r="N8" s="3"/>
      <x:c r="O8" s="3"/>
      <x:c r="P8" s="3"/>
      <x:c r="Q8" s="48" t="str">
        <x:v>Catalina Gutiérrez</x:v>
      </x:c>
      <x:c r="R8" s="49" t="str">
        <x:v>Scrum Master / Development Team</x:v>
      </x:c>
      <x:c r="S8" s="273" t="n">
        <x:v>1987016.4</x:v>
      </x:c>
      <x:c r="T8" s="335" t="n">
        <x:v>10917.672527472527</x:v>
      </x:c>
      <x:c r="U8" s="48" t="str">
        <x:v>/H</x:v>
      </x:c>
    </x:row>
    <x:row r="9">
      <x:c r="B9" s="52" t="s">
        <x:v>19</x:v>
      </x:c>
      <x:c r="C9" s="314" t="n">
        <x:v>0</x:v>
      </x:c>
      <x:c r="D9" s="314" t="n">
        <x:v>0</x:v>
      </x:c>
      <x:c r="E9" s="315" t="n">
        <x:v>0</x:v>
      </x:c>
      <x:c r="F9" s="42"/>
      <x:c r="G9" s="43"/>
      <x:c r="H9" s="3"/>
      <x:c r="I9" s="56" t="s">
        <x:v>20</x:v>
      </x:c>
      <x:c r="J9" s="45" t="str">
        <x:v>No aplica</x:v>
      </x:c>
      <x:c r="K9" s="25"/>
      <x:c r="L9" s="46" t="s">
        <x:v>21</x:v>
      </x:c>
      <x:c r="M9" s="333" t="n">
        <x:f>E23</x:f>
        <x:v>-3493791.321054945</x:v>
      </x:c>
      <x:c r="N9" s="3"/>
      <x:c r="O9" s="3"/>
      <x:c r="P9" s="3"/>
      <x:c r="Q9" s="48" t="str">
        <x:v>Benjamín Vallejos</x:v>
      </x:c>
      <x:c r="R9" s="49" t="str">
        <x:v>Desarrollador Junior</x:v>
      </x:c>
      <x:c r="S9" s="273" t="n">
        <x:v>1260000</x:v>
      </x:c>
      <x:c r="T9" s="335" t="n">
        <x:v>6923.076923076923</x:v>
      </x:c>
      <x:c r="U9" s="48" t="str">
        <x:v>/H</x:v>
      </x:c>
    </x:row>
    <x:row r="10">
      <x:c r="B10" s="57" t="s">
        <x:v>22</x:v>
      </x:c>
      <x:c r="C10" s="314" t="n">
        <x:v>0</x:v>
      </x:c>
      <x:c r="D10" s="314" t="n">
        <x:v>0</x:v>
      </x:c>
      <x:c r="E10" s="315" t="n">
        <x:v>0</x:v>
      </x:c>
      <x:c r="F10" s="42"/>
      <x:c r="G10" s="43"/>
      <x:c r="H10" s="3"/>
      <x:c r="I10" s="56" t="s">
        <x:v>23</x:v>
      </x:c>
      <x:c r="J10" s="58" t="s">
        <x:v>24</x:v>
      </x:c>
      <x:c r="K10" s="25"/>
      <x:c r="L10" s="46" t="s">
        <x:v>25</x:v>
      </x:c>
      <x:c r="M10" s="333" t="str">
        <x:v>Proyecto académico sin cliente externo</x:v>
      </x:c>
      <x:c r="N10" s="3"/>
      <x:c r="O10" s="3"/>
      <x:c r="P10" s="3"/>
      <x:c r="Q10" s="60" t="str">
        <x:v>Michael Ibáñez</x:v>
      </x:c>
      <x:c r="R10" s="61" t="str">
        <x:v>Desarrollador Junior</x:v>
      </x:c>
      <x:c r="S10" s="269" t="n">
        <x:v>1260000</x:v>
      </x:c>
      <x:c r="T10" s="336" t="n">
        <x:v>6923.076923076923</x:v>
      </x:c>
      <x:c r="U10" s="60" t="str">
        <x:v>/H</x:v>
      </x:c>
    </x:row>
    <x:row r="11">
      <x:c r="B11" s="64" t="s">
        <x:v>26</x:v>
      </x:c>
      <x:c r="C11" s="316" t="n">
        <x:v>0</x:v>
      </x:c>
      <x:c r="D11" s="316" t="n">
        <x:v>0</x:v>
      </x:c>
      <x:c r="E11" s="317" t="n">
        <x:v>0</x:v>
      </x:c>
      <x:c r="F11" s="42"/>
      <x:c r="G11" s="43"/>
      <x:c r="H11" s="3"/>
      <x:c r="I11" s="56" t="s">
        <x:v>27</x:v>
      </x:c>
      <x:c r="J11" s="58" t="s">
        <x:v>28</x:v>
      </x:c>
      <x:c r="K11" s="25"/>
      <x:c r="L11" s="46" t="s">
        <x:v>29</x:v>
      </x:c>
      <x:c r="M11" s="333" t="str">
        <x:v>Sin ingresos comprometidos ni deuda</x:v>
      </x:c>
      <x:c r="N11" s="3"/>
      <x:c r="O11" s="3"/>
      <x:c r="P11" s="3"/>
      <x:c r="Q11" s="60"/>
      <x:c r="R11" s="61"/>
      <x:c r="S11" s="61"/>
      <x:c r="T11" s="61"/>
      <x:c r="U11" s="60"/>
    </x:row>
    <x:row r="12">
      <x:c r="B12" s="64" t="s">
        <x:v>30</x:v>
      </x:c>
      <x:c r="C12" s="318" t="n">
        <x:f t="shared" ref="C12:E12" si="1">SUM(C7:C11)</x:f>
        <x:v>0</x:v>
      </x:c>
      <x:c r="D12" s="318" t="n">
        <x:f t="shared" si="1">SUM(D7:D11)</x:f>
        <x:v>0</x:v>
      </x:c>
      <x:c r="E12" s="319" t="n">
        <x:f t="shared" si="1">SUM(E7:E11)</x:f>
        <x:v>0</x:v>
      </x:c>
      <x:c r="F12" s="3" t="s">
        <x:v>31</x:v>
      </x:c>
      <x:c r="G12" s="331" t="n">
        <x:f>SUM(C12:E12)</x:f>
        <x:v>0</x:v>
      </x:c>
      <x:c r="H12" s="3"/>
      <x:c r="I12" s="56" t="s">
        <x:v>32</x:v>
      </x:c>
      <x:c r="J12" s="71" t="n">
        <x:v>0</x:v>
      </x:c>
      <x:c r="K12" s="25"/>
      <x:c r="L12" s="46" t="s">
        <x:v>33</x:v>
      </x:c>
      <x:c r="M12" s="333" t="n">
        <x:f>G21</x:f>
        <x:v>13845443.14742857</x:v>
      </x:c>
      <x:c r="N12" s="3"/>
      <x:c r="O12" s="3"/>
      <x:c r="P12" s="3"/>
      <x:c r="Q12" s="73" t="s">
        <x:v>34</x:v>
      </x:c>
      <x:c r="R12" s="74" t="s">
        <x:v>35</x:v>
      </x:c>
      <x:c r="S12" s="75"/>
      <x:c r="T12" s="76"/>
      <x:c r="U12" s="60"/>
    </x:row>
    <x:row r="13">
      <x:c r="B13" s="77" t="s">
        <x:v>36</x:v>
      </x:c>
      <x:c r="C13" s="320" t="n">
        <x:f>C23</x:f>
        <x:v>-6959621.417582418</x:v>
      </x:c>
      <x:c r="D13" s="320" t="n">
        <x:f t="shared" ref="D13:E13" si="2">C13+D23</x:f>
        <x:v>-10351651.826373626</x:v>
      </x:c>
      <x:c r="E13" s="321" t="n">
        <x:f t="shared" si="2">D13+E23</x:f>
        <x:v>-13845443.14742857</x:v>
      </x:c>
      <x:c r="F13" s="3" t="s">
        <x:v>37</x:v>
      </x:c>
      <x:c r="G13" s="328" t="n">
        <x:f>E13</x:f>
        <x:v>-13845443.14742857</x:v>
      </x:c>
      <x:c r="H13" s="3"/>
      <x:c r="I13" s="82" t="s">
        <x:v>38</x:v>
      </x:c>
      <x:c r="J13" s="83" t="n">
        <x:v>0</x:v>
      </x:c>
      <x:c r="K13" s="25"/>
      <x:c r="L13" s="46" t="s">
        <x:v>39</x:v>
      </x:c>
      <x:c r="M13" s="333" t="n">
        <x:f>G12</x:f>
        <x:v>0</x:v>
      </x:c>
      <x:c r="N13" s="3"/>
      <x:c r="O13" s="3"/>
      <x:c r="P13" s="3"/>
      <x:c r="Q13" s="60" t="s">
        <x:v>40</x:v>
      </x:c>
      <x:c r="R13" s="273" t="n">
        <x:f>SUM(S7:S10)</x:f>
        <x:v>6385959.6</x:v>
      </x:c>
      <x:c r="S13" s="84"/>
      <x:c r="T13" s="61"/>
      <x:c r="U13" s="60"/>
    </x:row>
    <x:row r="14">
      <x:c r="B14" s="3"/>
      <x:c r="C14" s="277"/>
      <x:c r="D14" s="277"/>
      <x:c r="E14" s="277"/>
      <x:c r="F14" s="3"/>
      <x:c r="G14" s="277"/>
      <x:c r="H14" s="3"/>
      <x:c r="I14" s="85" t="s">
        <x:v>41</x:v>
      </x:c>
      <x:c r="J14" s="71" t="n">
        <x:v>0</x:v>
      </x:c>
      <x:c r="K14" s="25"/>
      <x:c r="L14" s="46" t="s">
        <x:v>42</x:v>
      </x:c>
      <x:c r="M14" s="246" t="n">
        <x:f>Hoja1!B16</x:f>
        <x:v>0.08</x:v>
      </x:c>
      <x:c r="N14" s="354" t="n">
        <x:f>M14/100</x:f>
        <x:v>0.0008</x:v>
      </x:c>
      <x:c r="O14" s="3"/>
      <x:c r="P14" s="3"/>
      <x:c r="Q14" s="90" t="s">
        <x:v>43</x:v>
      </x:c>
      <x:c r="R14" s="273" t="n">
        <x:v>182</x:v>
      </x:c>
      <x:c r="S14" s="91"/>
      <x:c r="T14" s="61"/>
      <x:c r="U14" s="60"/>
    </x:row>
    <x:row r="15">
      <x:c r="B15" s="92" t="s">
        <x:v>44</x:v>
      </x:c>
      <x:c r="C15" s="322"/>
      <x:c r="D15" s="322"/>
      <x:c r="E15" s="323"/>
      <x:c r="F15" s="3"/>
      <x:c r="G15" s="277"/>
      <x:c r="H15" s="3"/>
      <x:c r="I15" s="85" t="s">
        <x:v>45</x:v>
      </x:c>
      <x:c r="J15" s="71" t="n">
        <x:v>0</x:v>
      </x:c>
      <x:c r="K15" s="96"/>
      <x:c r="L15" s="46" t="s">
        <x:v>46</x:v>
      </x:c>
      <x:c r="M15" s="334" t="n">
        <x:f t="array" ref="M15">M6+M7/(1+M14)^1+M8/(1+M14)^2+M9/(1+M14)^3</x:f>
        <x:v>-2773484.1940498655</x:v>
      </x:c>
      <x:c r="N15" s="3"/>
      <x:c r="O15" s="3"/>
      <x:c r="P15" s="3"/>
      <x:c r="Q15" s="60" t="s">
        <x:v>47</x:v>
      </x:c>
      <x:c r="R15" s="269" t="n">
        <x:f>C17</x:f>
        <x:v>5614030.417582418</x:v>
      </x:c>
      <x:c r="S15" s="61"/>
      <x:c r="T15" s="61"/>
      <x:c r="U15" s="60"/>
    </x:row>
    <x:row r="16">
      <x:c r="B16" s="101" t="s">
        <x:v>48</x:v>
      </x:c>
      <x:c r="C16" s="314">
        <x:v>0.0</x:v>
      </x:c>
      <x:c r="D16" s="314">
        <x:v>0.0</x:v>
      </x:c>
      <x:c r="E16" s="315">
        <x:v>0.0</x:v>
      </x:c>
      <x:c r="F16" s="3"/>
      <x:c r="G16" s="277"/>
      <x:c r="H16" s="3"/>
      <x:c r="I16" s="85" t="s">
        <x:v>49</x:v>
      </x:c>
      <x:c r="J16" s="71" t="n">
        <x:v>0</x:v>
      </x:c>
      <x:c r="K16" s="25"/>
      <x:c r="L16" s="46" t="s">
        <x:v>50</x:v>
      </x:c>
      <x:c r="M16" s="102" t="str">
        <x:v>No aplica: no existen ingresos comprometidos</x:v>
      </x:c>
      <x:c r="N16" s="3"/>
      <x:c r="O16" s="3"/>
      <x:c r="P16" s="3"/>
      <x:c r="Q16" s="103"/>
      <x:c r="R16" s="27"/>
      <x:c r="S16" s="27"/>
      <x:c r="T16" s="27"/>
      <x:c r="U16" s="28"/>
    </x:row>
    <x:row r="17">
      <x:c r="B17" s="101" t="s">
        <x:v>51</x:v>
      </x:c>
      <x:c r="C17" s="324" t="n">
        <x:f>S7/$R$14*160+S8/$R$14*160+S9/$R$14*160+S10/$R$14*160</x:f>
        <x:v>5614030.417582418</x:v>
      </x:c>
      <x:c r="D17" s="325" t="n">
        <x:f>S7*(1+Hoja1!$B$14)/$R$14*55.50785476312754+S8*(1+Hoja1!$B$14)/$R$14*55.50785476312754+S9*(1+Hoja1!$B$14)/$R$14*55.50785476312754+S10*(1+Hoja1!$B$14)/$R$14*55.50785476312754</x:f>
        <x:v>2006071.6787912087</x:v>
      </x:c>
      <x:c r="E17" s="325" t="n">
        <x:f>S7*(1+Hoja1!$B$14)^2/$R$14*55.50785476312754+S8*(1+Hoja1!$B$14)^2/$R$14*55.50785476312754+S9*(1+Hoja1!$B$14)^2/$R$14*55.50785476312754+S10*(1+Hoja1!$B$14)^2/$R$14*55.50785476312754</x:f>
        <x:v>2066253.829154945</x:v>
      </x:c>
      <x:c r="F17" s="3"/>
      <x:c r="G17" s="277"/>
      <x:c r="H17" s="3"/>
      <x:c r="I17" s="106" t="s">
        <x:v>52</x:v>
      </x:c>
      <x:c r="J17" s="107" t="str">
        <x:v>Sin deuda; proyecto académico autofinanciado en tiempo/recursos propios</x:v>
      </x:c>
      <x:c r="K17" s="25"/>
      <x:c r="L17" s="3"/>
      <x:c r="M17" s="3"/>
      <x:c r="N17" s="3"/>
      <x:c r="O17" s="3"/>
      <x:c r="P17" s="3"/>
      <x:c r="Q17" s="108"/>
      <x:c r="R17" s="109"/>
      <x:c r="S17" s="109"/>
      <x:c r="T17" s="109"/>
      <x:c r="U17" s="109"/>
    </x:row>
    <x:row r="18">
      <x:c r="B18" s="101" t="s">
        <x:v>53</x:v>
      </x:c>
      <x:c r="C18" s="324" t="n">
        <x:v>759455</x:v>
      </x:c>
      <x:c r="D18" s="324" t="n">
        <x:v>782238.65</x:v>
      </x:c>
      <x:c r="E18" s="325" t="n">
        <x:v>805705.8095</x:v>
      </x:c>
      <x:c r="F18" s="3"/>
      <x:c r="G18" s="277"/>
      <x:c r="H18" s="3"/>
      <x:c r="I18" s="3"/>
      <x:c r="J18" s="3"/>
      <x:c r="K18" s="3"/>
      <x:c r="L18" s="3"/>
      <x:c r="M18" s="3"/>
      <x:c r="N18" s="3"/>
      <x:c r="O18" s="3"/>
      <x:c r="P18" s="3"/>
      <x:c r="Q18" s="48"/>
      <x:c r="R18" s="48"/>
      <x:c r="S18" s="112"/>
      <x:c r="T18" s="91"/>
      <x:c r="U18" s="48"/>
    </x:row>
    <x:row r="19">
      <x:c r="B19" s="101" t="s">
        <x:v>54</x:v>
      </x:c>
      <x:c r="C19" s="314" t="n">
        <x:v>0</x:v>
      </x:c>
      <x:c r="D19" s="314" t="n">
        <x:v>0</x:v>
      </x:c>
      <x:c r="E19" s="315" t="n">
        <x:v>0</x:v>
      </x:c>
      <x:c r="F19" s="3"/>
      <x:c r="G19" s="277"/>
      <x:c r="H19" s="3"/>
      <x:c r="I19" s="3"/>
      <x:c r="J19" s="3"/>
      <x:c r="K19" s="3"/>
      <x:c r="L19" s="23" t="s">
        <x:v>55</x:v>
      </x:c>
      <x:c r="M19" s="22"/>
      <x:c r="N19" s="3"/>
      <x:c r="O19" s="3"/>
      <x:c r="P19" s="3"/>
      <x:c r="Q19" s="60"/>
      <x:c r="R19" s="60"/>
      <x:c r="S19" s="113"/>
      <x:c r="T19" s="114"/>
      <x:c r="U19" s="60"/>
    </x:row>
    <x:row r="20">
      <x:c r="B20" s="101" t="s">
        <x:v>56</x:v>
      </x:c>
      <x:c r="C20" s="324" t="n">
        <x:v>586136</x:v>
      </x:c>
      <x:c r="D20" s="324" t="n">
        <x:v>603720.08</x:v>
      </x:c>
      <x:c r="E20" s="325" t="n">
        <x:v>621831.6824</x:v>
      </x:c>
      <x:c r="F20" s="3"/>
      <x:c r="G20" s="332"/>
      <x:c r="H20" s="3"/>
      <x:c r="I20" s="3"/>
      <x:c r="J20" s="3"/>
      <x:c r="K20" s="25"/>
      <x:c r="L20" s="116" t="s">
        <x:v>57</x:v>
      </x:c>
      <x:c r="M20" s="350" t="s">
        <x:v>58</x:v>
      </x:c>
      <x:c r="N20" s="3"/>
      <x:c r="O20" s="3"/>
      <x:c r="P20" s="3"/>
      <x:c r="Q20" s="60"/>
      <x:c r="R20" s="48"/>
      <x:c r="S20" s="118"/>
      <x:c r="T20" s="114"/>
      <x:c r="U20" s="60"/>
    </x:row>
    <x:row r="21" ht="15.75" customHeight="1">
      <x:c r="B21" s="119" t="s">
        <x:v>59</x:v>
      </x:c>
      <x:c r="C21" s="326" t="n">
        <x:f t="shared" ref="C21:E21" si="3">SUM(C16:C20)</x:f>
        <x:v>6959621.417582418</x:v>
      </x:c>
      <x:c r="D21" s="326" t="n">
        <x:f t="shared" si="3">SUM(D16:D20)</x:f>
        <x:v>3392030.4087912086</x:v>
      </x:c>
      <x:c r="E21" s="327" t="n">
        <x:f t="shared" si="3">SUM(E16:E20)</x:f>
        <x:v>3493791.321054945</x:v>
      </x:c>
      <x:c r="F21" s="3" t="s">
        <x:v>60</x:v>
      </x:c>
      <x:c r="G21" s="328" t="n">
        <x:f>SUM(C21:E21)</x:f>
        <x:v>13845443.14742857</x:v>
      </x:c>
      <x:c r="H21" s="3"/>
      <x:c r="I21" s="3"/>
      <x:c r="J21" s="3"/>
      <x:c r="K21" s="89"/>
      <x:c r="L21" s="122" t="s">
        <x:v>61</x:v>
      </x:c>
      <x:c r="M21" s="351" t="n">
        <x:v>0</x:v>
      </x:c>
      <x:c r="N21" s="3"/>
      <x:c r="O21" s="3"/>
      <x:c r="P21" s="3"/>
      <x:c r="Q21" s="3"/>
      <x:c r="R21" s="3"/>
      <x:c r="S21" s="124"/>
      <x:c r="T21" s="125"/>
      <x:c r="U21" s="3"/>
    </x:row>
    <x:row r="22" ht="15.75" customHeight="1">
      <x:c r="B22" s="3"/>
      <x:c r="C22" s="328"/>
      <x:c r="D22" s="328"/>
      <x:c r="E22" s="328"/>
      <x:c r="F22" s="3"/>
      <x:c r="G22" s="331"/>
      <x:c r="H22" s="3"/>
      <x:c r="I22" s="3"/>
      <x:c r="J22" s="3"/>
      <x:c r="K22" s="3"/>
      <x:c r="L22" s="126" t="s">
        <x:v>62</x:v>
      </x:c>
      <x:c r="M22" s="352" t="n">
        <x:v>0</x:v>
      </x:c>
      <x:c r="N22" s="3"/>
      <x:c r="O22" s="3"/>
      <x:c r="P22" s="3"/>
      <x:c r="Q22" s="3"/>
      <x:c r="R22" s="3"/>
      <x:c r="S22" s="3"/>
      <x:c r="T22" s="20"/>
      <x:c r="U22" s="3"/>
    </x:row>
    <x:row r="23" ht="15.75" customHeight="1">
      <x:c r="B23" s="128" t="s">
        <x:v>63</x:v>
      </x:c>
      <x:c r="C23" s="329" t="n">
        <x:f t="shared" ref="C23:E23" si="4">C12-C21</x:f>
        <x:v>-6959621.417582418</x:v>
      </x:c>
      <x:c r="D23" s="329" t="n">
        <x:f t="shared" si="4">D12-D21</x:f>
        <x:v>-3392030.4087912086</x:v>
      </x:c>
      <x:c r="E23" s="330" t="n">
        <x:f t="shared" si="4">E12-E21</x:f>
        <x:v>-3493791.321054945</x:v>
      </x:c>
      <x:c r="F23" s="3" t="s">
        <x:v>64</x:v>
      </x:c>
      <x:c r="G23" s="328" t="n">
        <x:f>SUM(C23:E23)</x:f>
        <x:v>-13845443.14742857</x:v>
      </x:c>
      <x:c r="H23" s="3"/>
      <x:c r="I23" s="3"/>
      <x:c r="J23" s="3"/>
      <x:c r="K23" s="3"/>
      <x:c r="L23" s="131" t="s">
        <x:v>65</x:v>
      </x:c>
      <x:c r="M23" s="353" t="n">
        <x:f>SUM(M21:M22)</x:f>
        <x:v>0</x:v>
      </x:c>
      <x:c r="N23" s="3"/>
      <x:c r="O23" s="3"/>
      <x:c r="P23" s="3"/>
      <x:c r="Q23" s="3"/>
      <x:c r="R23" s="3"/>
      <x:c r="S23" s="3"/>
      <x:c r="T23" s="3"/>
      <x:c r="U23" s="3"/>
    </x:row>
    <x:row r="24" ht="15.75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133" t="s">
        <x:v>10</x:v>
      </x:c>
      <x:c r="R24" s="133" t="s">
        <x:v>66</x:v>
      </x:c>
      <x:c r="S24" s="133" t="s">
        <x:v>67</x:v>
      </x:c>
      <x:c r="T24" s="133" t="s">
        <x:v>68</x:v>
      </x:c>
      <x:c r="U24" s="133" t="s">
        <x:v>14</x:v>
      </x:c>
    </x:row>
    <x:row r="25" ht="15.75" customHeight="1">
      <x:c r="B25" s="134" t="s">
        <x:v>69</x:v>
      </x:c>
      <x:c r="C25" s="135" t="str">
        <x:v>GitHub Team — 4 integrantes / 12 meses</x:v>
      </x:c>
      <x:c r="D25" s="27"/>
      <x:c r="E25" s="27"/>
      <x:c r="F25" s="28"/>
      <x:c r="G25" s="337" t="n">
        <x:v>181128</x:v>
      </x:c>
      <x:c r="H25" s="3"/>
      <x:c r="I25" s="3"/>
      <x:c r="J25" s="3"/>
      <x:c r="K25" s="3"/>
      <x:c r="L25" s="3"/>
      <x:c r="M25" s="3"/>
      <x:c r="N25" s="3"/>
      <x:c r="O25" s="3"/>
      <x:c r="P25" s="3"/>
      <x:c r="Q25" s="3" t="str">
        <x:v>Fernanda Poblete</x:v>
      </x:c>
      <x:c r="R25" s="3" t="str">
        <x:v>Product Owner</x:v>
      </x:c>
      <x:c r="S25" s="355" t="n">
        <x:v>55.50785476312754</x:v>
      </x:c>
      <x:c r="T25" s="349" t="n">
        <x:v>607954.6105748377</x:v>
      </x:c>
      <x:c r="U25" s="3" t="str">
        <x:v>CLP</x:v>
      </x:c>
    </x:row>
    <x:row r="26" ht="15.75" customHeight="1">
      <x:c r="B26" s="138"/>
      <x:c r="C26" s="139" t="s">
        <x:v>70</x:v>
      </x:c>
      <x:c r="D26" s="27"/>
      <x:c r="E26" s="27"/>
      <x:c r="F26" s="28"/>
      <x:c r="G26" s="338" t="n">
        <x:v>0</x:v>
      </x:c>
      <x:c r="H26" s="3"/>
      <x:c r="I26" s="3"/>
      <x:c r="J26" s="3"/>
      <x:c r="K26" s="3"/>
      <x:c r="L26" s="3"/>
      <x:c r="M26" s="3"/>
      <x:c r="N26" s="3"/>
      <x:c r="O26" s="3"/>
      <x:c r="P26" s="3"/>
      <x:c r="Q26" s="3" t="str">
        <x:v>Catalina Gutiérrez</x:v>
      </x:c>
      <x:c r="R26" s="3" t="str">
        <x:v>Scrum Master</x:v>
      </x:c>
      <x:c r="S26" s="355" t="n">
        <x:v>55.50785476312754</x:v>
      </x:c>
      <x:c r="T26" s="349" t="n">
        <x:v>642922.9907896181</x:v>
      </x:c>
      <x:c r="U26" s="3" t="str">
        <x:v>CLP</x:v>
      </x:c>
    </x:row>
    <x:row r="27" ht="15.75" customHeight="1">
      <x:c r="B27" s="138"/>
      <x:c r="C27" s="139" t="s">
        <x:v>71</x:v>
      </x:c>
      <x:c r="D27" s="27"/>
      <x:c r="E27" s="27"/>
      <x:c r="F27" s="28"/>
      <x:c r="G27" s="338" t="n">
        <x:v>0</x:v>
      </x:c>
      <x:c r="H27" s="3"/>
      <x:c r="I27" s="3"/>
      <x:c r="J27" s="3"/>
      <x:c r="K27" s="3"/>
      <x:c r="L27" s="3"/>
      <x:c r="M27" s="3"/>
      <x:c r="N27" s="3"/>
      <x:c r="O27" s="3"/>
      <x:c r="P27" s="3"/>
      <x:c r="Q27" s="3" t="str">
        <x:v>Benjamín Vallejos</x:v>
      </x:c>
      <x:c r="R27" s="3" t="str">
        <x:v>Desarrollador Junior</x:v>
      </x:c>
      <x:c r="S27" s="355" t="n">
        <x:v>55.50785476312754</x:v>
      </x:c>
      <x:c r="T27" s="349" t="n">
        <x:v>407688.11389524466</x:v>
      </x:c>
      <x:c r="U27" s="3" t="str">
        <x:v>CLP</x:v>
      </x:c>
    </x:row>
    <x:row r="28" ht="15.75" customHeight="1">
      <x:c r="B28" s="138"/>
      <x:c r="C28" s="141" t="s">
        <x:v>72</x:v>
      </x:c>
      <x:c r="D28" s="27"/>
      <x:c r="E28" s="27"/>
      <x:c r="F28" s="28"/>
      <x:c r="G28" s="338" t="n">
        <x:v>0</x:v>
      </x:c>
      <x:c r="H28" s="3"/>
      <x:c r="I28" s="3"/>
      <x:c r="J28" s="3"/>
      <x:c r="K28" s="3"/>
      <x:c r="L28" s="3"/>
      <x:c r="M28" s="3"/>
      <x:c r="N28" s="3"/>
      <x:c r="O28" s="3"/>
      <x:c r="P28" s="3"/>
      <x:c r="Q28" s="3" t="str">
        <x:v>Michael Ibáñez</x:v>
      </x:c>
      <x:c r="R28" s="3" t="str">
        <x:v>Desarrollador Junior</x:v>
      </x:c>
      <x:c r="S28" s="355" t="n">
        <x:v>55.50785476312754</x:v>
      </x:c>
      <x:c r="T28" s="349" t="n">
        <x:v>407688.11389524466</x:v>
      </x:c>
      <x:c r="U28" s="3" t="str">
        <x:v>CLP</x:v>
      </x:c>
    </x:row>
    <x:row r="29" ht="15.75" customHeight="1">
      <x:c r="B29" s="138"/>
      <x:c r="C29" s="141" t="s">
        <x:v>73</x:v>
      </x:c>
      <x:c r="D29" s="27"/>
      <x:c r="E29" s="27"/>
      <x:c r="F29" s="28"/>
      <x:c r="G29" s="339" t="n">
        <x:v>0</x:v>
      </x:c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43"/>
      <x:c r="T29" s="277"/>
      <x:c r="U29" s="3"/>
    </x:row>
    <x:row r="30" ht="15.75" customHeight="1">
      <x:c r="B30" s="138"/>
      <x:c r="C30" s="141" t="s">
        <x:v>74</x:v>
      </x:c>
      <x:c r="D30" s="27"/>
      <x:c r="E30" s="27"/>
      <x:c r="F30" s="28"/>
      <x:c r="G30" s="340" t="n">
        <x:v>0</x:v>
      </x:c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 t="s">
        <x:v>75</x:v>
      </x:c>
      <x:c r="S30" s="43"/>
      <x:c r="T30" s="328" t="n">
        <x:f>SUM(T25:T28)</x:f>
        <x:v>2066253.829154945</x:v>
      </x:c>
      <x:c r="U30" s="3"/>
    </x:row>
    <x:row r="31" ht="15.75" customHeight="1">
      <x:c r="B31" s="138"/>
      <x:c r="C31" s="141" t="s">
        <x:v>76</x:v>
      </x:c>
      <x:c r="D31" s="27"/>
      <x:c r="E31" s="27"/>
      <x:c r="F31" s="28"/>
      <x:c r="G31" s="341" t="n">
        <x:v>0</x:v>
      </x:c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43"/>
      <x:c r="T31" s="43"/>
      <x:c r="U31" s="3"/>
    </x:row>
    <x:row r="32" ht="15.75" customHeight="1">
      <x:c r="B32" s="138"/>
      <x:c r="C32" s="141" t="s">
        <x:v>77</x:v>
      </x:c>
      <x:c r="D32" s="27"/>
      <x:c r="E32" s="27"/>
      <x:c r="F32" s="28"/>
      <x:c r="G32" s="340" t="n">
        <x:v>0</x:v>
      </x:c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</x:row>
    <x:row r="33" ht="15.75" customHeight="1">
      <x:c r="B33" s="138"/>
      <x:c r="C33" s="141" t="str">
        <x:v>Figma Professional — 1 Full seat / 12 meses</x:v>
      </x:c>
      <x:c r="D33" s="27"/>
      <x:c r="E33" s="27"/>
      <x:c r="F33" s="28"/>
      <x:c r="G33" s="340" t="n">
        <x:v>181128</x:v>
      </x:c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</x:row>
    <x:row r="34" ht="15.75" customHeight="1">
      <x:c r="B34" s="145"/>
      <x:c r="C34" s="139" t="str">
        <x:v>SSL/HTTPS y backups incluidos en la infraestructura utilizada</x:v>
      </x:c>
      <x:c r="D34" s="27"/>
      <x:c r="E34" s="27"/>
      <x:c r="F34" s="28"/>
      <x:c r="G34" s="340" t="n">
        <x:v>0</x:v>
      </x:c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</x:row>
    <x:row r="35" ht="15.75" customHeight="1">
      <x:c r="B35" s="3"/>
      <x:c r="C35" s="146" t="str">
        <x:v>Supabase Pro + colchón de compute — 12 meses</x:v>
      </x:c>
      <x:c r="D35" s="147"/>
      <x:c r="E35" s="147"/>
      <x:c r="F35" s="148"/>
      <x:c r="G35" s="342" t="n">
        <x:v>363624</x:v>
      </x:c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</x:row>
    <x:row r="36" ht="15.75" customHeight="1">
      <x:c r="B36" s="3"/>
      <x:c r="C36" s="150" t="str">
        <x:v>Dominio .CL — 1 año</x:v>
      </x:c>
      <x:c r="D36" s="150"/>
      <x:c r="E36" s="150"/>
      <x:c r="F36" s="150"/>
      <x:c r="G36" s="343" t="n">
        <x:v>9990</x:v>
      </x:c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</x:row>
    <x:row r="37" ht="15.75" customHeight="1">
      <x:c r="B37" s="3"/>
      <x:c r="C37" s="150" t="str">
        <x:v>Validación profesional LSCh — 8 h</x:v>
      </x:c>
      <x:c r="D37" s="150"/>
      <x:c r="E37" s="150"/>
      <x:c r="F37" s="150"/>
      <x:c r="G37" s="343" t="n">
        <x:v>336136</x:v>
      </x:c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</x:row>
    <x:row r="38" ht="15.75" customHeight="1">
      <x:c r="B38" s="3"/>
      <x:c r="C38" s="150" t="str">
        <x:v>Incentivos pruebas de usabilidad — 10 personas</x:v>
      </x:c>
      <x:c r="D38" s="150"/>
      <x:c r="E38" s="150"/>
      <x:c r="F38" s="150"/>
      <x:c r="G38" s="343" t="n">
        <x:v>150000</x:v>
      </x:c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</x:row>
    <x:row r="39" ht="15.75" customHeight="1">
      <x:c r="B39" s="134" t="s">
        <x:v>78</x:v>
      </x:c>
      <x:c r="C39" s="135" t="str">
        <x:v>Logística validación ampliada</x:v>
      </x:c>
      <x:c r="D39" s="27"/>
      <x:c r="E39" s="27"/>
      <x:c r="F39" s="28"/>
      <x:c r="G39" s="337" t="n">
        <x:v>100000</x:v>
      </x:c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</x:row>
    <x:row r="40" ht="15.75" customHeight="1">
      <x:c r="B40" s="138"/>
      <x:c r="C40" s="141" t="str">
        <x:v>Apoyo Oficina Inclusión DIDECO Huechuraba — convocatoria</x:v>
      </x:c>
      <x:c r="D40" s="27"/>
      <x:c r="E40" s="27"/>
      <x:c r="F40" s="28"/>
      <x:c r="G40" s="338" t="n">
        <x:v>0</x:v>
      </x:c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</x:row>
    <x:row r="41" ht="15.75" customHeight="1">
      <x:c r="B41" s="138"/>
      <x:c r="C41" s="141" t="str">
        <x:v>4 notebooks personales / infraestructura Duoc UC</x:v>
      </x:c>
      <x:c r="D41" s="27"/>
      <x:c r="E41" s="27"/>
      <x:c r="F41" s="28"/>
      <x:c r="G41" s="344" t="n">
        <x:v>0</x:v>
      </x:c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</x:row>
    <x:row r="42" ht="15.75" customHeight="1">
      <x:c r="B42" s="138"/>
      <x:c r="C42" s="141" t="str">
        <x:v>Google Play Console — publicación Android</x:v>
      </x:c>
      <x:c r="D42" s="27"/>
      <x:c r="E42" s="27"/>
      <x:c r="F42" s="28"/>
      <x:c r="G42" s="345" t="n">
        <x:v>23585</x:v>
      </x:c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</x:row>
    <x:row r="43" ht="15.75" customHeight="1">
      <x:c r="B43" s="138"/>
      <x:c r="C43" s="141" t="s">
        <x:v>79</x:v>
      </x:c>
      <x:c r="D43" s="27"/>
      <x:c r="E43" s="27"/>
      <x:c r="F43" s="28"/>
      <x:c r="G43" s="344" t="n">
        <x:v>1345591</x:v>
      </x:c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</x:row>
    <x:row r="44" ht="15.75" customHeight="1">
      <x:c r="B44" s="138"/>
      <x:c r="C44" s="141" t="s">
        <x:v>80</x:v>
      </x:c>
      <x:c r="D44" s="27"/>
      <x:c r="E44" s="27"/>
      <x:c r="F44" s="28"/>
      <x:c r="G44" s="346" t="n">
        <x:v>0</x:v>
      </x:c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</x:row>
    <x:row r="45" ht="15.75" customHeight="1">
      <x:c r="B45" s="145"/>
      <x:c r="C45" s="141" t="str">
        <x:v>Validación LSCh (8 h) + pruebas + materiales</x:v>
      </x:c>
      <x:c r="D45" s="27"/>
      <x:c r="E45" s="27"/>
      <x:c r="F45" s="28"/>
      <x:c r="G45" s="345" t="n">
        <x:v>603720.08</x:v>
      </x:c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</x:row>
    <x:row r="46" ht="15.75" customHeight="1">
      <x:c r="B46" s="3"/>
      <x:c r="C46" s="155" t="str">
        <x:v>Supabase Pro + compute + dominio</x:v>
      </x:c>
      <x:c r="D46" s="27"/>
      <x:c r="E46" s="27"/>
      <x:c r="F46" s="28"/>
      <x:c r="G46" s="347" t="n">
        <x:v>782238.65</x:v>
      </x:c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</x:row>
    <x:row r="47" ht="15.75" customHeight="1">
      <x:c r="B47" s="3"/>
      <x:c r="C47" s="3" t="str">
        <x:v>Validación LSCh + pruebas + logística ampliada</x:v>
      </x:c>
      <x:c r="D47" s="3"/>
      <x:c r="E47" s="3"/>
      <x:c r="F47" s="3"/>
      <x:c r="G47" s="277" t="n">
        <x:v>603720.08</x:v>
      </x:c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</x:row>
    <x:row r="48" ht="15.75" customHeight="1">
      <x:c r="B48" s="98" t="s">
        <x:v>81</x:v>
      </x:c>
      <x:c r="C48" s="157" t="str">
        <x:v>Mantenimiento app (costo de oportunidad del equipo)</x:v>
      </x:c>
      <x:c r="G48" s="277" t="n">
        <x:v>2066253.829154945</x:v>
      </x:c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</x:row>
    <x:row r="49" ht="15.75" customHeight="1">
      <x:c r="B49" s="98" t="s">
        <x:v>82</x:v>
      </x:c>
      <x:c r="C49" s="157" t="s">
        <x:v>83</x:v>
      </x:c>
      <x:c r="G49" s="277" t="n">
        <x:v>0</x:v>
      </x:c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</x:row>
    <x:row r="50" ht="15.75" customHeight="1">
      <x:c r="C50" s="158" t="s">
        <x:v>84</x:v>
      </x:c>
      <x:c r="G50" s="348" t="n">
        <x:v>3493791.321054945</x:v>
      </x:c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1:U1"/>
    <x:mergeCell ref="B2:U2"/>
    <x:mergeCell ref="B4:G4"/>
    <x:mergeCell ref="C5:E5"/>
    <x:mergeCell ref="I5:J5"/>
    <x:mergeCell ref="L5:M5"/>
    <x:mergeCell ref="Q5:U5"/>
    <x:mergeCell ref="C28:F28"/>
    <x:mergeCell ref="C29:F29"/>
    <x:mergeCell ref="C30:F30"/>
    <x:mergeCell ref="C31:F31"/>
    <x:mergeCell ref="B15:E15"/>
    <x:mergeCell ref="Q16:U16"/>
    <x:mergeCell ref="L19:M19"/>
    <x:mergeCell ref="B25:B34"/>
    <x:mergeCell ref="C25:F25"/>
    <x:mergeCell ref="C26:F26"/>
    <x:mergeCell ref="C27:F27"/>
    <x:mergeCell ref="C34:F34"/>
    <x:mergeCell ref="C42:F42"/>
    <x:mergeCell ref="C43:F43"/>
    <x:mergeCell ref="C44:F44"/>
    <x:mergeCell ref="C45:F45"/>
    <x:mergeCell ref="C46:F46"/>
    <x:mergeCell ref="C48:F48"/>
    <x:mergeCell ref="C49:F49"/>
    <x:mergeCell ref="C32:F32"/>
    <x:mergeCell ref="C33:F33"/>
    <x:mergeCell ref="C35:F35"/>
    <x:mergeCell ref="B39:B45"/>
    <x:mergeCell ref="C39:F39"/>
    <x:mergeCell ref="C40:F40"/>
    <x:mergeCell ref="C41:F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22" width="10.710000038146973" customWidth="1"/>
    <x:col min="23" max="23" width="11" customWidth="1"/>
    <x:col min="24" max="24" width="10.710000038146973" customWidth="1"/>
  </x:cols>
  <x:sheetData>
    <x:row r="1">
      <x:c r="A1" s="1" t="s">
        <x:v>85</x:v>
      </x:c>
      <x:c r="K1" s="1" t="s">
        <x:v>86</x:v>
      </x:c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>
      <x:c r="A3" s="6" t="s">
        <x:v>87</x:v>
      </x:c>
      <x:c r="B3" s="6" t="s">
        <x:v>88</x:v>
      </x:c>
      <x:c r="C3" s="6" t="s">
        <x:v>14</x:v>
      </x:c>
      <x:c r="D3" s="6" t="s">
        <x:v>89</x:v>
      </x:c>
      <x:c r="E3" s="6" t="s">
        <x:v>90</x:v>
      </x:c>
      <x:c r="F3" s="6" t="s">
        <x:v>91</x:v>
      </x:c>
      <x:c r="G3" s="6" t="s">
        <x:v>92</x:v>
      </x:c>
      <x:c r="H3" s="6" t="s">
        <x:v>93</x:v>
      </x:c>
      <x:c r="I3" s="6" t="s">
        <x:v>68</x:v>
      </x:c>
      <x:c r="J3" s="6" t="s">
        <x:v>94</x:v>
      </x:c>
      <x:c r="K3" s="6" t="s">
        <x:v>87</x:v>
      </x:c>
      <x:c r="L3" s="6" t="s">
        <x:v>95</x:v>
      </x:c>
      <x:c r="M3" s="6" t="s">
        <x:v>96</x:v>
      </x:c>
      <x:c r="N3" s="6" t="s">
        <x:v>97</x:v>
      </x:c>
      <x:c r="O3" s="6" t="s">
        <x:v>98</x:v>
      </x:c>
      <x:c r="P3" s="6" t="s">
        <x:v>99</x:v>
      </x:c>
      <x:c r="Q3" s="6" t="s">
        <x:v>100</x:v>
      </x:c>
      <x:c r="R3" s="6" t="s">
        <x:v>101</x:v>
      </x:c>
      <x:c r="S3" s="6" t="s">
        <x:v>102</x:v>
      </x:c>
      <x:c r="T3" s="6" t="s">
        <x:v>103</x:v>
      </x:c>
      <x:c r="U3" s="6" t="str">
        <x:v>Mes 10</x:v>
      </x:c>
      <x:c r="V3" s="6" t="str">
        <x:v>Mes 11</x:v>
      </x:c>
      <x:c r="W3" s="6" t="str">
        <x:v>Mes 12</x:v>
      </x:c>
      <x:c r="X3" s="6" t="str">
        <x:v>Total Año 1 CLP</x:v>
      </x:c>
    </x:row>
    <x:row r="4">
      <x:c r="A4" s="3" t="s">
        <x:v>104</x:v>
      </x:c>
      <x:c r="B4" s="9" t="n">
        <x:v>1565786</x:v>
      </x:c>
      <x:c r="C4" s="10" t="s">
        <x:v>105</x:v>
      </x:c>
      <x:c r="D4" s="11" t="n">
        <x:v>110</x:v>
      </x:c>
      <x:c r="E4" s="14" t="n">
        <x:f t="shared" ref="E4:E7" si="2">B4/$B$13*D4</x:f>
        <x:v>946354.1758241758</x:v>
      </x:c>
      <x:c r="F4" s="11" t="n">
        <x:v>20</x:v>
      </x:c>
      <x:c r="G4" s="20" t="n">
        <x:f t="shared" ref="G4:G7" si="3">B4*(1+$B$14)/$B$13*F4</x:f>
        <x:v>177226.32747252748</x:v>
      </x:c>
      <x:c r="H4" s="11" t="n">
        <x:v>20</x:v>
      </x:c>
      <x:c r="I4" s="20" t="n">
        <x:f t="shared" ref="I4:I7" si="4">B4*(1+$B$14)^2/$B$13*H4</x:f>
        <x:v>182543.11729670328</x:v>
      </x:c>
      <x:c r="J4" s="25" t="s">
        <x:v>106</x:v>
      </x:c>
      <x:c r="K4" s="25" t="str">
        <x:v>Equipo — costo de oportunidad (4 integrantes)</x:v>
      </x:c>
      <x:c r="L4" s="328" t="n">
        <x:f t="shared" ref="L4:P4" si="1">SUM($E$4:$E$7)/5</x:f>
        <x:v>643274.3187</x:v>
      </x:c>
      <x:c r="M4" s="328" t="n">
        <x:f t="shared" si="1"/>
        <x:v>643274.3187</x:v>
      </x:c>
      <x:c r="N4" s="328" t="n">
        <x:f t="shared" si="1"/>
        <x:v>643274.3187</x:v>
      </x:c>
      <x:c r="O4" s="328" t="n">
        <x:f t="shared" si="1"/>
        <x:v>643274.3187</x:v>
      </x:c>
      <x:c r="P4" s="328" t="n">
        <x:f t="shared" si="1"/>
        <x:v>643274.3187</x:v>
      </x:c>
      <x:c r="Q4" s="328" t="n">
        <x:v>0</x:v>
      </x:c>
      <x:c r="R4" s="328" t="n">
        <x:v>0</x:v>
      </x:c>
      <x:c r="S4" s="328" t="n">
        <x:v>0</x:v>
      </x:c>
      <x:c r="T4" s="328" t="n">
        <x:v>0</x:v>
      </x:c>
      <x:c r="U4" s="328" t="n">
        <x:v>0</x:v>
      </x:c>
      <x:c r="V4" s="328" t="n">
        <x:v>0</x:v>
      </x:c>
      <x:c r="W4" s="328" t="n">
        <x:v>0</x:v>
      </x:c>
      <x:c r="X4" s="328" t="n">
        <x:f t="shared" ref="X4:X11" si="6">SUM(L4:W4)</x:f>
        <x:v>3216371.5934999995</x:v>
      </x:c>
    </x:row>
    <x:row r="5">
      <x:c r="A5" s="3" t="s">
        <x:v>107</x:v>
      </x:c>
      <x:c r="B5" s="9" t="n">
        <x:v>1655847</x:v>
      </x:c>
      <x:c r="C5" s="10" t="s">
        <x:v>105</x:v>
      </x:c>
      <x:c r="D5" s="11" t="n">
        <x:v>110</x:v>
      </x:c>
      <x:c r="E5" s="20" t="n">
        <x:f t="shared" si="2"/>
        <x:v>1000786.648</x:v>
      </x:c>
      <x:c r="F5" s="11" t="n">
        <x:v>20</x:v>
      </x:c>
      <x:c r="G5" s="20" t="n">
        <x:f t="shared" si="3"/>
        <x:v>187420.0451</x:v>
      </x:c>
      <x:c r="H5" s="11" t="n">
        <x:v>20</x:v>
      </x:c>
      <x:c r="I5" s="20" t="n">
        <x:f t="shared" si="4"/>
        <x:v>193042.6464</x:v>
      </x:c>
      <x:c r="J5" s="25" t="s">
        <x:v>108</x:v>
      </x:c>
      <x:c r="K5" s="25" t="e">
        <x:f t="shared" ref="K5:V5" si="5">+$J$5*K6</x:f>
        <x:v>#VALUE!</x:v>
      </x:c>
      <x:c r="L5" s="328" t="n">
        <x:f t="shared" si="5"/>
        <x:v>23585</x:v>
      </x:c>
      <x:c r="M5" s="328" t="n">
        <x:f t="shared" si="5"/>
        <x:v>23585</x:v>
      </x:c>
      <x:c r="N5" s="328" t="n">
        <x:f t="shared" si="5"/>
        <x:v>23585</x:v>
      </x:c>
      <x:c r="O5" s="328" t="n">
        <x:f t="shared" si="5"/>
        <x:v>23585</x:v>
      </x:c>
      <x:c r="P5" s="328" t="n">
        <x:f t="shared" si="5"/>
        <x:v>23585</x:v>
      </x:c>
      <x:c r="Q5" s="328" t="n">
        <x:f t="shared" si="5"/>
        <x:v>23585</x:v>
      </x:c>
      <x:c r="R5" s="328" t="n">
        <x:f t="shared" si="5"/>
        <x:v>23585</x:v>
      </x:c>
      <x:c r="S5" s="328" t="n">
        <x:f t="shared" si="5"/>
        <x:v>23585</x:v>
      </x:c>
      <x:c r="T5" s="328" t="n">
        <x:f t="shared" si="5"/>
        <x:v>23585</x:v>
      </x:c>
      <x:c r="U5" s="328" t="n">
        <x:f t="shared" si="5"/>
        <x:v>23585</x:v>
      </x:c>
      <x:c r="V5" s="328" t="n">
        <x:f t="shared" si="5"/>
        <x:v>23585</x:v>
      </x:c>
      <x:c r="W5" s="328" t="n">
        <x:v>23585</x:v>
      </x:c>
      <x:c r="X5" s="328" t="n">
        <x:f t="shared" si="6">SUM(L5:W5)</x:f>
        <x:v>283020</x:v>
      </x:c>
    </x:row>
    <x:row r="6">
      <x:c r="A6" s="3" t="s">
        <x:v>109</x:v>
      </x:c>
      <x:c r="B6" s="9" t="n">
        <x:v>1050000</x:v>
      </x:c>
      <x:c r="C6" s="10" t="s">
        <x:v>105</x:v>
      </x:c>
      <x:c r="D6" s="11" t="n">
        <x:v>110</x:v>
      </x:c>
      <x:c r="E6" s="20" t="n">
        <x:f t="shared" si="2"/>
        <x:v>634615.3846153846</x:v>
      </x:c>
      <x:c r="F6" s="11" t="n">
        <x:v>35</x:v>
      </x:c>
      <x:c r="G6" s="20" t="n">
        <x:f t="shared" si="3"/>
        <x:v>207980.7692307692</x:v>
      </x:c>
      <x:c r="H6" s="11" t="n">
        <x:v>35</x:v>
      </x:c>
      <x:c r="I6" s="20" t="n">
        <x:f t="shared" si="4"/>
        <x:v>214220.1923</x:v>
      </x:c>
      <x:c r="J6" s="25" t="s">
        <x:v>110</x:v>
      </x:c>
      <x:c r="K6" s="25" t="str">
        <x:v>Dominio .CL</x:v>
      </x:c>
      <x:c r="L6" s="328" t="n">
        <x:v>9990</x:v>
      </x:c>
      <x:c r="M6" s="328" t="n">
        <x:v>0</x:v>
      </x:c>
      <x:c r="N6" s="328" t="n">
        <x:v>0</x:v>
      </x:c>
      <x:c r="O6" s="328" t="n">
        <x:v>0</x:v>
      </x:c>
      <x:c r="P6" s="328" t="n">
        <x:v>0</x:v>
      </x:c>
      <x:c r="Q6" s="328" t="n">
        <x:v>0</x:v>
      </x:c>
      <x:c r="R6" s="328" t="n">
        <x:v>0</x:v>
      </x:c>
      <x:c r="S6" s="328" t="n">
        <x:v>0</x:v>
      </x:c>
      <x:c r="T6" s="328" t="n">
        <x:v>0</x:v>
      </x:c>
      <x:c r="U6" s="328" t="n">
        <x:v>0</x:v>
      </x:c>
      <x:c r="V6" s="328" t="n">
        <x:v>0</x:v>
      </x:c>
      <x:c r="W6" s="328" t="n">
        <x:v>0</x:v>
      </x:c>
      <x:c r="X6" s="328" t="n">
        <x:f t="shared" si="6">SUM(L6:W6)</x:f>
        <x:v>9990</x:v>
      </x:c>
    </x:row>
    <x:row r="7">
      <x:c r="A7" s="3" t="s">
        <x:v>111</x:v>
      </x:c>
      <x:c r="B7" s="9" t="n">
        <x:v>1050000</x:v>
      </x:c>
      <x:c r="C7" s="10" t="s">
        <x:v>105</x:v>
      </x:c>
      <x:c r="D7" s="11" t="n">
        <x:v>110</x:v>
      </x:c>
      <x:c r="E7" s="20" t="n">
        <x:f t="shared" si="2"/>
        <x:v>634615.3846153846</x:v>
      </x:c>
      <x:c r="F7" s="11" t="n">
        <x:v>35</x:v>
      </x:c>
      <x:c r="G7" s="20" t="n">
        <x:f t="shared" si="3"/>
        <x:v>207980.7692307692</x:v>
      </x:c>
      <x:c r="H7" s="11" t="n">
        <x:v>35</x:v>
      </x:c>
      <x:c r="I7" s="20" t="n">
        <x:f t="shared" si="4"/>
        <x:v>214220.1923</x:v>
      </x:c>
      <x:c r="J7" s="25" t="s">
        <x:v>110</x:v>
      </x:c>
      <x:c r="K7" s="25" t="str">
        <x:v>Validación profesional LSCh</x:v>
      </x:c>
      <x:c r="L7" s="328" t="n">
        <x:v>0</x:v>
      </x:c>
      <x:c r="M7" s="328" t="n">
        <x:v>0</x:v>
      </x:c>
      <x:c r="N7" s="328" t="n">
        <x:v>0</x:v>
      </x:c>
      <x:c r="O7" s="328" t="n">
        <x:v>168068</x:v>
      </x:c>
      <x:c r="P7" s="328" t="n">
        <x:v>0</x:v>
      </x:c>
      <x:c r="Q7" s="328" t="n">
        <x:v>0</x:v>
      </x:c>
      <x:c r="R7" s="328" t="n">
        <x:v>0</x:v>
      </x:c>
      <x:c r="S7" s="328" t="n">
        <x:v>0</x:v>
      </x:c>
      <x:c r="T7" s="328" t="n">
        <x:v>0</x:v>
      </x:c>
      <x:c r="U7" s="328" t="n">
        <x:v>0</x:v>
      </x:c>
      <x:c r="V7" s="328" t="n">
        <x:v>0</x:v>
      </x:c>
      <x:c r="W7" s="328" t="n">
        <x:v>0</x:v>
      </x:c>
      <x:c r="X7" s="328" t="n">
        <x:f t="shared" si="6">SUM(L7:W7)</x:f>
        <x:v>168068</x:v>
      </x:c>
    </x:row>
    <x:row r="8">
      <x:c r="A8" s="3" t="s">
        <x:v>112</x:v>
      </x:c>
      <x:c r="B8" s="9" t="n">
        <x:v>23585</x:v>
      </x:c>
      <x:c r="C8" s="10" t="s">
        <x:v>105</x:v>
      </x:c>
      <x:c r="D8" s="11" t="n">
        <x:v>12</x:v>
      </x:c>
      <x:c r="E8" s="20" t="n">
        <x:f t="shared" ref="E8:E12" si="7">B8*D8</x:f>
        <x:v>283020</x:v>
      </x:c>
      <x:c r="F8" s="11" t="n">
        <x:v>12</x:v>
      </x:c>
      <x:c r="G8" s="20" t="n">
        <x:f t="shared" ref="G8:G12" si="8">B8*(1+$B$14)*F8</x:f>
        <x:v>291510.6</x:v>
      </x:c>
      <x:c r="H8" s="11" t="n">
        <x:v>12</x:v>
      </x:c>
      <x:c r="I8" s="20" t="n">
        <x:f t="shared" ref="I8:I12" si="9">B8*(1+$B$14)^2*H8</x:f>
        <x:v>300255.918</x:v>
      </x:c>
      <x:c r="J8" s="25" t="s">
        <x:v>113</x:v>
      </x:c>
      <x:c r="K8" s="25" t="str">
        <x:v>Incentivos pruebas de usabilidad</x:v>
      </x:c>
      <x:c r="L8" s="328" t="n">
        <x:v>0</x:v>
      </x:c>
      <x:c r="M8" s="328" t="n">
        <x:v>0</x:v>
      </x:c>
      <x:c r="N8" s="328" t="n">
        <x:v>0</x:v>
      </x:c>
      <x:c r="O8" s="328" t="n">
        <x:v>0</x:v>
      </x:c>
      <x:c r="P8" s="328" t="n">
        <x:v>50000</x:v>
      </x:c>
      <x:c r="Q8" s="328" t="n">
        <x:v>0</x:v>
      </x:c>
      <x:c r="R8" s="328" t="n">
        <x:v>0</x:v>
      </x:c>
      <x:c r="S8" s="328" t="n">
        <x:v>0</x:v>
      </x:c>
      <x:c r="T8" s="328" t="n">
        <x:v>0</x:v>
      </x:c>
      <x:c r="U8" s="328" t="n">
        <x:v>0</x:v>
      </x:c>
      <x:c r="V8" s="328" t="n">
        <x:v>0</x:v>
      </x:c>
      <x:c r="W8" s="328" t="n">
        <x:v>0</x:v>
      </x:c>
      <x:c r="X8" s="328" t="n">
        <x:f t="shared" si="6">SUM(L8:W8)</x:f>
        <x:v>50000</x:v>
      </x:c>
    </x:row>
    <x:row r="9">
      <x:c r="A9" s="3" t="s">
        <x:v>114</x:v>
      </x:c>
      <x:c r="B9" s="9" t="n">
        <x:v>9990</x:v>
      </x:c>
      <x:c r="C9" s="10" t="s">
        <x:v>115</x:v>
      </x:c>
      <x:c r="D9" s="11" t="n">
        <x:v>1</x:v>
      </x:c>
      <x:c r="E9" s="20" t="n">
        <x:f t="shared" si="7"/>
        <x:v>9990</x:v>
      </x:c>
      <x:c r="F9" s="11" t="n">
        <x:v>1</x:v>
      </x:c>
      <x:c r="G9" s="20" t="n">
        <x:f t="shared" si="8"/>
        <x:v>10289.7</x:v>
      </x:c>
      <x:c r="H9" s="11" t="n">
        <x:v>1</x:v>
      </x:c>
      <x:c r="I9" s="20" t="n">
        <x:f t="shared" si="9"/>
        <x:v>10598.391</x:v>
      </x:c>
      <x:c r="J9" s="25" t="s">
        <x:v>116</x:v>
      </x:c>
      <x:c r="K9" s="25" t="str">
        <x:v>Logística validación</x:v>
      </x:c>
      <x:c r="L9" s="328" t="n">
        <x:v>0</x:v>
      </x:c>
      <x:c r="M9" s="328" t="n">
        <x:v>0</x:v>
      </x:c>
      <x:c r="N9" s="328" t="n">
        <x:v>0</x:v>
      </x:c>
      <x:c r="O9" s="328" t="n">
        <x:v>0</x:v>
      </x:c>
      <x:c r="P9" s="328" t="n">
        <x:v>50000</x:v>
      </x:c>
      <x:c r="Q9" s="328" t="n">
        <x:v>0</x:v>
      </x:c>
      <x:c r="R9" s="328" t="n">
        <x:v>0</x:v>
      </x:c>
      <x:c r="S9" s="328" t="n">
        <x:v>0</x:v>
      </x:c>
      <x:c r="T9" s="328" t="n">
        <x:v>0</x:v>
      </x:c>
      <x:c r="U9" s="328" t="n">
        <x:v>0</x:v>
      </x:c>
      <x:c r="V9" s="328" t="n">
        <x:v>0</x:v>
      </x:c>
      <x:c r="W9" s="328" t="n">
        <x:v>0</x:v>
      </x:c>
      <x:c r="X9" s="328" t="n">
        <x:f t="shared" si="6">SUM(L9:W9)</x:f>
        <x:v>50000</x:v>
      </x:c>
    </x:row>
    <x:row r="10">
      <x:c r="A10" s="3" t="s">
        <x:v>117</x:v>
      </x:c>
      <x:c r="B10" s="9" t="n">
        <x:v>42017</x:v>
      </x:c>
      <x:c r="C10" s="10" t="s">
        <x:v>118</x:v>
      </x:c>
      <x:c r="D10" s="11" t="n">
        <x:v>4</x:v>
      </x:c>
      <x:c r="E10" s="20" t="n">
        <x:f t="shared" si="7"/>
        <x:v>168068</x:v>
      </x:c>
      <x:c r="F10" s="11" t="n">
        <x:v>3</x:v>
      </x:c>
      <x:c r="G10" s="20" t="n">
        <x:f t="shared" si="8"/>
        <x:v>129832.53</x:v>
      </x:c>
      <x:c r="H10" s="11" t="n">
        <x:v>3</x:v>
      </x:c>
      <x:c r="I10" s="20" t="n">
        <x:f t="shared" si="9"/>
        <x:v>133727.5059</x:v>
      </x:c>
      <x:c r="J10" s="3" t="s">
        <x:v>119</x:v>
      </x:c>
      <x:c r="K10" s="70" t="s">
        <x:v>120</x:v>
      </x:c>
      <x:c r="L10" s="356" t="n">
        <x:f t="shared" ref="L10:W10" si="10">SUM(L4:L9)</x:f>
        <x:v>676849.3187</x:v>
      </x:c>
      <x:c r="M10" s="356" t="n">
        <x:f t="shared" si="10">SUM(M4:M9)</x:f>
        <x:v>666859.3187</x:v>
      </x:c>
      <x:c r="N10" s="356" t="n">
        <x:f t="shared" si="10">SUM(N4:N9)</x:f>
        <x:v>666859.3187</x:v>
      </x:c>
      <x:c r="O10" s="356" t="n">
        <x:f t="shared" si="10">SUM(O4:O9)</x:f>
        <x:v>834927.3187</x:v>
      </x:c>
      <x:c r="P10" s="356" t="n">
        <x:f t="shared" si="10">SUM(P4:P9)</x:f>
        <x:v>766859.3187</x:v>
      </x:c>
      <x:c r="Q10" s="356" t="n">
        <x:f t="shared" si="10">SUM(Q4:Q9)</x:f>
        <x:v>23585</x:v>
      </x:c>
      <x:c r="R10" s="356" t="n">
        <x:f t="shared" si="10">SUM(R4:R9)</x:f>
        <x:v>23585</x:v>
      </x:c>
      <x:c r="S10" s="356" t="n">
        <x:f t="shared" si="10">SUM(S4:S9)</x:f>
        <x:v>23585</x:v>
      </x:c>
      <x:c r="T10" s="356" t="n">
        <x:f t="shared" si="10">SUM(T4:T9)</x:f>
        <x:v>23585</x:v>
      </x:c>
      <x:c r="U10" s="356" t="n">
        <x:f t="shared" si="10">SUM(U4:U9)</x:f>
        <x:v>23585</x:v>
      </x:c>
      <x:c r="V10" s="356" t="n">
        <x:f t="shared" si="10">SUM(V4:V9)</x:f>
        <x:v>23585</x:v>
      </x:c>
      <x:c r="W10" s="356" t="n">
        <x:f t="shared" si="10">SUM(W4:W9)</x:f>
        <x:v>23585</x:v>
      </x:c>
      <x:c r="X10" s="356" t="n">
        <x:f t="shared" si="6">SUM(L10:W10)</x:f>
        <x:v>3777449.5934999995</x:v>
      </x:c>
    </x:row>
    <x:row r="11">
      <x:c r="A11" s="3" t="s">
        <x:v>121</x:v>
      </x:c>
      <x:c r="B11" s="9" t="n">
        <x:v>10000</x:v>
      </x:c>
      <x:c r="C11" s="10" t="s">
        <x:v>122</x:v>
      </x:c>
      <x:c r="D11" s="11" t="n">
        <x:v>5</x:v>
      </x:c>
      <x:c r="E11" s="20" t="n">
        <x:f t="shared" si="7"/>
        <x:v>50000</x:v>
      </x:c>
      <x:c r="F11" s="11" t="n">
        <x:v>3</x:v>
      </x:c>
      <x:c r="G11" s="20" t="n">
        <x:f t="shared" si="8"/>
        <x:v>30900</x:v>
      </x:c>
      <x:c r="H11" s="11" t="n">
        <x:v>3</x:v>
      </x:c>
      <x:c r="I11" s="20" t="n">
        <x:f t="shared" si="9"/>
        <x:v>31827</x:v>
      </x:c>
      <x:c r="J11" s="3" t="s">
        <x:v>123</x:v>
      </x:c>
      <x:c r="K11" s="79" t="s">
        <x:v>124</x:v>
      </x:c>
      <x:c r="L11" s="357" t="n">
        <x:f t="shared" ref="L11:W11" si="11">-L10</x:f>
        <x:v>-676849.3187</x:v>
      </x:c>
      <x:c r="M11" s="357" t="n">
        <x:f t="shared" si="11">-M10</x:f>
        <x:v>-666859.3187</x:v>
      </x:c>
      <x:c r="N11" s="357" t="n">
        <x:f t="shared" si="11">-N10</x:f>
        <x:v>-666859.3187</x:v>
      </x:c>
      <x:c r="O11" s="357" t="n">
        <x:f t="shared" si="11">-O10</x:f>
        <x:v>-834927.3187</x:v>
      </x:c>
      <x:c r="P11" s="357" t="n">
        <x:f t="shared" si="11">-P10</x:f>
        <x:v>-766859.3187</x:v>
      </x:c>
      <x:c r="Q11" s="357" t="n">
        <x:f t="shared" si="11">-Q10</x:f>
        <x:v>-23585</x:v>
      </x:c>
      <x:c r="R11" s="357" t="n">
        <x:f t="shared" si="11">-R10</x:f>
        <x:v>-23585</x:v>
      </x:c>
      <x:c r="S11" s="357" t="n">
        <x:f t="shared" si="11">-S10</x:f>
        <x:v>-23585</x:v>
      </x:c>
      <x:c r="T11" s="357" t="n">
        <x:f t="shared" si="11">-T10</x:f>
        <x:v>-23585</x:v>
      </x:c>
      <x:c r="U11" s="357" t="n">
        <x:f t="shared" si="11">-U10</x:f>
        <x:v>-23585</x:v>
      </x:c>
      <x:c r="V11" s="357" t="n">
        <x:f t="shared" si="11">-V10</x:f>
        <x:v>-23585</x:v>
      </x:c>
      <x:c r="W11" s="357" t="n">
        <x:f t="shared" si="11">-W10</x:f>
        <x:v>-23585</x:v>
      </x:c>
      <x:c r="X11" s="357" t="n">
        <x:f t="shared" si="6">-X10</x:f>
        <x:v>-3777449.5934999995</x:v>
      </x:c>
    </x:row>
    <x:row r="12">
      <x:c r="A12" s="3" t="s">
        <x:v>125</x:v>
      </x:c>
      <x:c r="B12" s="9" t="n">
        <x:v>50000</x:v>
      </x:c>
      <x:c r="C12" s="10" t="s">
        <x:v>126</x:v>
      </x:c>
      <x:c r="D12" s="11" t="n">
        <x:v>1</x:v>
      </x:c>
      <x:c r="E12" s="20" t="n">
        <x:f t="shared" si="7"/>
        <x:v>50000</x:v>
      </x:c>
      <x:c r="F12" s="11" t="n">
        <x:v>1</x:v>
      </x:c>
      <x:c r="G12" s="20" t="n">
        <x:f t="shared" si="8"/>
        <x:v>51500</x:v>
      </x:c>
      <x:c r="H12" s="11" t="n">
        <x:v>1</x:v>
      </x:c>
      <x:c r="I12" s="20" t="n">
        <x:f t="shared" si="9"/>
        <x:v>53045</x:v>
      </x:c>
      <x:c r="J12" s="3" t="s">
        <x:v>127</x:v>
      </x:c>
      <x:c r="K12" s="86" t="str">
        <x:v>SALDO ACUMULADO</x:v>
      </x:c>
      <x:c r="L12" s="358" t="n">
        <x:f>L11</x:f>
        <x:v>-676849.3187</x:v>
      </x:c>
      <x:c r="M12" s="358" t="n">
        <x:f t="shared" ref="M12:W12" si="12">L12+M11</x:f>
        <x:v>-1343708.6374</x:v>
      </x:c>
      <x:c r="N12" s="358" t="n">
        <x:f t="shared" si="12">M12+N11</x:f>
        <x:v>-2010567.9560999998</x:v>
      </x:c>
      <x:c r="O12" s="358" t="n">
        <x:f t="shared" si="12">N12+O11</x:f>
        <x:v>-2845495.2748</x:v>
      </x:c>
      <x:c r="P12" s="358" t="n">
        <x:f t="shared" si="12">O12+P11</x:f>
        <x:v>-3612354.5934999995</x:v>
      </x:c>
      <x:c r="Q12" s="358" t="n">
        <x:f t="shared" si="12">P12+Q11</x:f>
        <x:v>-3635939.5934999995</x:v>
      </x:c>
      <x:c r="R12" s="358" t="n">
        <x:f t="shared" si="12">Q12+R11</x:f>
        <x:v>-3659524.5934999995</x:v>
      </x:c>
      <x:c r="S12" s="358" t="n">
        <x:f t="shared" si="12">R12+S11</x:f>
        <x:v>-3683109.5934999995</x:v>
      </x:c>
      <x:c r="T12" s="358" t="n">
        <x:f t="shared" si="12">S12+T11</x:f>
        <x:v>-3706694.5934999995</x:v>
      </x:c>
      <x:c r="U12" s="358" t="n">
        <x:f t="shared" si="12">T12+U11</x:f>
        <x:v>-3730279.5934999995</x:v>
      </x:c>
      <x:c r="V12" s="358" t="n">
        <x:f t="shared" si="12">U12+V11</x:f>
        <x:v>-3753864.5934999995</x:v>
      </x:c>
      <x:c r="W12" s="358" t="n">
        <x:f t="shared" si="12">V12+W11</x:f>
        <x:v>-3777449.5934999995</x:v>
      </x:c>
      <x:c r="X12" s="358" t="n">
        <x:f>W12</x:f>
        <x:v>-3777449.5934999995</x:v>
      </x:c>
    </x:row>
    <x:row r="13">
      <x:c r="A13" s="3" t="s">
        <x:v>128</x:v>
      </x:c>
      <x:c r="B13" s="11" t="n">
        <x:v>182</x:v>
      </x:c>
      <x:c r="C13" s="10" t="s">
        <x:v>129</x:v>
      </x:c>
      <x:c r="D13" s="10">
        <x:v>0.0</x:v>
      </x:c>
      <x:c r="E13" s="20">
        <x:v>0.0</x:v>
      </x:c>
      <x:c r="F13" s="10">
        <x:v>0.0</x:v>
      </x:c>
      <x:c r="G13" s="20">
        <x:v>0.0</x:v>
      </x:c>
      <x:c r="H13" s="10">
        <x:v>0.0</x:v>
      </x:c>
      <x:c r="I13" s="20">
        <x:v>0.0</x:v>
      </x:c>
      <x:c r="J13" s="3" t="s">
        <x:v>130</x:v>
      </x:c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</x:row>
    <x:row r="14">
      <x:c r="A14" s="3" t="s">
        <x:v>131</x:v>
      </x:c>
      <x:c r="B14" s="95" t="n">
        <x:v>0.03</x:v>
      </x:c>
      <x:c r="C14" s="10" t="s">
        <x:v>132</x:v>
      </x:c>
      <x:c r="D14" s="10">
        <x:v>0.0</x:v>
      </x:c>
      <x:c r="E14" s="20">
        <x:v>0.0</x:v>
      </x:c>
      <x:c r="F14" s="10">
        <x:v>0.0</x:v>
      </x:c>
      <x:c r="G14" s="20">
        <x:v>0.0</x:v>
      </x:c>
      <x:c r="H14" s="10">
        <x:v>0.0</x:v>
      </x:c>
      <x:c r="I14" s="20">
        <x:v>0.0</x:v>
      </x:c>
      <x:c r="J14" s="3" t="s">
        <x:v>133</x:v>
      </x:c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</x:row>
    <x:row r="15">
      <x:c r="A15" s="3" t="s">
        <x:v>134</x:v>
      </x:c>
      <x:c r="B15" s="95">
        <x:v>0.15</x:v>
      </x:c>
      <x:c r="C15" s="10" t="s">
        <x:v>135</x:v>
      </x:c>
      <x:c r="D15" s="10">
        <x:v>0.0</x:v>
      </x:c>
      <x:c r="E15" s="20">
        <x:v>0.0</x:v>
      </x:c>
      <x:c r="F15" s="10">
        <x:v>0.0</x:v>
      </x:c>
      <x:c r="G15" s="20">
        <x:v>0.0</x:v>
      </x:c>
      <x:c r="H15" s="10">
        <x:v>0.0</x:v>
      </x:c>
      <x:c r="I15" s="20">
        <x:v>0.0</x:v>
      </x:c>
      <x:c r="J15" s="3" t="s">
        <x:v>136</x:v>
      </x:c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</x:row>
    <x:row r="16">
      <x:c r="A16" s="3" t="s">
        <x:v>137</x:v>
      </x:c>
      <x:c r="B16" s="95">
        <x:v>0.08</x:v>
      </x:c>
      <x:c r="C16" s="10" t="s">
        <x:v>132</x:v>
      </x:c>
      <x:c r="D16" s="10">
        <x:v>0.0</x:v>
      </x:c>
      <x:c r="E16" s="20">
        <x:v>0.0</x:v>
      </x:c>
      <x:c r="F16" s="10">
        <x:v>0.0</x:v>
      </x:c>
      <x:c r="G16" s="20">
        <x:v>0.0</x:v>
      </x:c>
      <x:c r="H16" s="10">
        <x:v>0.0</x:v>
      </x:c>
      <x:c r="I16" s="20">
        <x:v>0.0</x:v>
      </x:c>
      <x:c r="J16" s="3" t="s">
        <x:v>138</x:v>
      </x:c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</x:row>
    <x:row r="17">
      <x:c r="A17" s="3" t="s">
        <x:v>139</x:v>
      </x:c>
      <x:c r="B17" s="97">
        <x:v>943.396</x:v>
      </x:c>
      <x:c r="C17" s="10" t="s">
        <x:v>140</x:v>
      </x:c>
      <x:c r="D17" s="10">
        <x:v>0.0</x:v>
      </x:c>
      <x:c r="E17" s="20">
        <x:v>0.0</x:v>
      </x:c>
      <x:c r="F17" s="10">
        <x:v>0.0</x:v>
      </x:c>
      <x:c r="G17" s="20">
        <x:v>0.0</x:v>
      </x:c>
      <x:c r="H17" s="10">
        <x:v>0.0</x:v>
      </x:c>
      <x:c r="I17" s="20">
        <x:v>0.0</x:v>
      </x:c>
      <x:c r="J17" s="3" t="s">
        <x:v>141</x:v>
      </x:c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</x:row>
    <x:row r="18">
      <x:c r="A18" s="86" t="s">
        <x:v>142</x:v>
      </x:c>
      <x:c r="B18" s="86">
        <x:v>0.0</x:v>
      </x:c>
      <x:c r="C18" s="86" t="s">
        <x:v>143</x:v>
      </x:c>
      <x:c r="D18" s="86">
        <x:v>1.0</x:v>
      </x:c>
      <x:c r="E18" s="88">
        <x:v>0.0</x:v>
      </x:c>
      <x:c r="F18" s="86">
        <x:v>1.0</x:v>
      </x:c>
      <x:c r="G18" s="88">
        <x:v>0.0</x:v>
      </x:c>
      <x:c r="H18" s="86">
        <x:v>1.0</x:v>
      </x:c>
      <x:c r="I18" s="88">
        <x:v>0.0</x:v>
      </x:c>
      <x:c r="J18" s="86" t="s">
        <x:v>144</x:v>
      </x:c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</x:row>
    <x:row r="19">
      <x:c r="A19" s="98" t="s">
        <x:v>145</x:v>
      </x:c>
      <x:c r="B19" s="3">
        <x:v>0.0</x:v>
      </x:c>
      <x:c r="C19" s="3" t="s">
        <x:v>143</x:v>
      </x:c>
      <x:c r="D19" s="3">
        <x:v>1.0</x:v>
      </x:c>
      <x:c r="E19" s="43">
        <x:v>0.0</x:v>
      </x:c>
      <x:c r="F19" s="3">
        <x:v>1.0</x:v>
      </x:c>
      <x:c r="G19" s="43">
        <x:v>0.0</x:v>
      </x:c>
      <x:c r="H19" s="3">
        <x:v>1.0</x:v>
      </x:c>
      <x:c r="I19" s="43">
        <x:v>0.0</x:v>
      </x:c>
      <x:c r="J19" s="3" t="s">
        <x:v>146</x:v>
      </x:c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</x:row>
    <x:row r="20">
      <x:c r="A20" s="13" t="s">
        <x:v>147</x:v>
      </x:c>
      <x:c r="B20" s="13"/>
      <x:c r="C20" s="13"/>
      <x:c r="D20" s="13"/>
      <x:c r="E20" s="99" t="n">
        <x:f>SUM(E4:E12)</x:f>
        <x:v>3777449.593054945</x:v>
      </x:c>
      <x:c r="F20" s="13"/>
      <x:c r="G20" s="99" t="n">
        <x:f>SUM(G4:G12)</x:f>
        <x:v>1294640.7410340658</x:v>
      </x:c>
      <x:c r="H20" s="13"/>
      <x:c r="I20" s="99" t="n">
        <x:f>SUM(I4:I12)</x:f>
        <x:v>1333479.9631967032</x:v>
      </x:c>
      <x:c r="J20" s="13" t="s">
        <x:v>148</x:v>
      </x:c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K1:X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16" customWidth="1"/>
    <x:col min="2" max="2" width="38" customWidth="1"/>
    <x:col min="3" max="3" width="20" customWidth="1"/>
    <x:col min="4" max="11" width="15" customWidth="1"/>
    <x:col min="12" max="12" width="14" customWidth="1"/>
    <x:col min="13" max="13" width="52" customWidth="1"/>
    <x:col min="14" max="26" width="8.710000038146973" customWidth="1"/>
  </x:cols>
  <x:sheetData>
    <x:row r="1">
      <x:c r="A1" s="160" t="s">
        <x:v>149</x:v>
      </x:c>
    </x:row>
    <x:row r="2">
      <x:c r="A2" s="160" t="s">
        <x:v>150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61" t="s">
        <x:v>151</x:v>
      </x:c>
      <x:c r="B4" s="161" t="s">
        <x:v>87</x:v>
      </x:c>
      <x:c r="C4" s="161" t="s">
        <x:v>152</x:v>
      </x:c>
      <x:c r="D4" s="161" t="s">
        <x:v>153</x:v>
      </x:c>
      <x:c r="E4" s="161" t="s">
        <x:v>14</x:v>
      </x:c>
      <x:c r="F4" s="161" t="s">
        <x:v>154</x:v>
      </x:c>
      <x:c r="G4" s="161" t="s">
        <x:v>90</x:v>
      </x:c>
      <x:c r="H4" s="161" t="s">
        <x:v>155</x:v>
      </x:c>
      <x:c r="I4" s="161" t="s">
        <x:v>92</x:v>
      </x:c>
      <x:c r="J4" s="161" t="s">
        <x:v>156</x:v>
      </x:c>
      <x:c r="K4" s="161" t="s">
        <x:v>68</x:v>
      </x:c>
      <x:c r="L4" s="161" t="s">
        <x:v>157</x:v>
      </x:c>
      <x:c r="M4" s="161" t="s">
        <x:v>94</x:v>
      </x:c>
    </x:row>
    <x:row r="5">
      <x:c r="A5" s="3" t="s">
        <x:v>158</x:v>
      </x:c>
      <x:c r="B5" s="3" t="s">
        <x:v>104</x:v>
      </x:c>
      <x:c r="C5" s="3" t="s">
        <x:v>159</x:v>
      </x:c>
      <x:c r="D5" s="9">
        <x:v>1565786.0</x:v>
      </x:c>
      <x:c r="E5" s="10" t="s">
        <x:v>105</x:v>
      </x:c>
      <x:c r="F5" s="10">
        <x:v>110.0</x:v>
      </x:c>
      <x:c r="G5" s="43" t="n">
        <x:f>D5/Hoja1!$B$13*F5</x:f>
        <x:v>946354.1758241758</x:v>
      </x:c>
      <x:c r="H5" s="9">
        <x:v>20.0</x:v>
      </x:c>
      <x:c r="I5" s="43" t="n">
        <x:f>D5*(1+Hoja1!$B$14)/Hoja1!$B$13*H5</x:f>
        <x:v>177226.32747252748</x:v>
      </x:c>
      <x:c r="J5" s="9">
        <x:v>20.0</x:v>
      </x:c>
      <x:c r="K5" s="43" t="n">
        <x:f>D5*(1+Hoja1!$B$14)^2/Hoja1!$B$13*J5</x:f>
        <x:v>182543.11729670328</x:v>
      </x:c>
      <x:c r="L5" s="3" t="s">
        <x:v>160</x:v>
      </x:c>
      <x:c r="M5" s="3" t="s">
        <x:v>161</x:v>
      </x:c>
    </x:row>
    <x:row r="6">
      <x:c r="A6" s="3" t="s">
        <x:v>158</x:v>
      </x:c>
      <x:c r="B6" s="3" t="s">
        <x:v>107</x:v>
      </x:c>
      <x:c r="C6" s="3" t="s">
        <x:v>159</x:v>
      </x:c>
      <x:c r="D6" s="9">
        <x:v>1655847.0</x:v>
      </x:c>
      <x:c r="E6" s="10" t="s">
        <x:v>105</x:v>
      </x:c>
      <x:c r="F6" s="10">
        <x:v>110.0</x:v>
      </x:c>
      <x:c r="G6" s="43" t="n">
        <x:f>D6/Hoja1!$B$13*F6</x:f>
        <x:v>1000786.6483516482</x:v>
      </x:c>
      <x:c r="H6" s="9">
        <x:v>20.0</x:v>
      </x:c>
      <x:c r="I6" s="43" t="n">
        <x:f>D6*(1+Hoja1!$B$14)/Hoja1!$B$13*H6</x:f>
        <x:v>187420.04505494508</x:v>
      </x:c>
      <x:c r="J6" s="9">
        <x:v>20.0</x:v>
      </x:c>
      <x:c r="K6" s="43" t="n">
        <x:f>D6*(1+Hoja1!$B$14)^2/Hoja1!$B$13*J6</x:f>
        <x:v>193042.6464065934</x:v>
      </x:c>
      <x:c r="L6" s="3" t="s">
        <x:v>160</x:v>
      </x:c>
      <x:c r="M6" s="3" t="s">
        <x:v>162</x:v>
      </x:c>
    </x:row>
    <x:row r="7">
      <x:c r="A7" s="3" t="s">
        <x:v>158</x:v>
      </x:c>
      <x:c r="B7" s="3" t="s">
        <x:v>109</x:v>
      </x:c>
      <x:c r="C7" s="3" t="s">
        <x:v>159</x:v>
      </x:c>
      <x:c r="D7" s="9">
        <x:v>1050000.0</x:v>
      </x:c>
      <x:c r="E7" s="10" t="s">
        <x:v>105</x:v>
      </x:c>
      <x:c r="F7" s="10">
        <x:v>110.0</x:v>
      </x:c>
      <x:c r="G7" s="43" t="n">
        <x:f>D7/Hoja1!$B$13*F7</x:f>
        <x:v>634615.3846153846</x:v>
      </x:c>
      <x:c r="H7" s="9">
        <x:v>35.0</x:v>
      </x:c>
      <x:c r="I7" s="43" t="n">
        <x:f>D7*(1+Hoja1!$B$14)/Hoja1!$B$13*H7</x:f>
        <x:v>207980.76923076922</x:v>
      </x:c>
      <x:c r="J7" s="9">
        <x:v>35.0</x:v>
      </x:c>
      <x:c r="K7" s="43" t="n">
        <x:f>D7*(1+Hoja1!$B$14)^2/Hoja1!$B$13*J7</x:f>
        <x:v>214220.1923076923</x:v>
      </x:c>
      <x:c r="L7" s="3" t="s">
        <x:v>160</x:v>
      </x:c>
      <x:c r="M7" s="3" t="s">
        <x:v>163</x:v>
      </x:c>
    </x:row>
    <x:row r="8">
      <x:c r="A8" s="3" t="s">
        <x:v>158</x:v>
      </x:c>
      <x:c r="B8" s="3" t="s">
        <x:v>111</x:v>
      </x:c>
      <x:c r="C8" s="3" t="s">
        <x:v>159</x:v>
      </x:c>
      <x:c r="D8" s="9">
        <x:v>1050000.0</x:v>
      </x:c>
      <x:c r="E8" s="10" t="s">
        <x:v>105</x:v>
      </x:c>
      <x:c r="F8" s="10">
        <x:v>110.0</x:v>
      </x:c>
      <x:c r="G8" s="43" t="n">
        <x:f>D8/Hoja1!$B$13*F8</x:f>
        <x:v>634615.3846153846</x:v>
      </x:c>
      <x:c r="H8" s="9">
        <x:v>35.0</x:v>
      </x:c>
      <x:c r="I8" s="43" t="n">
        <x:f>D8*(1+Hoja1!$B$14)/Hoja1!$B$13*H8</x:f>
        <x:v>207980.76923076922</x:v>
      </x:c>
      <x:c r="J8" s="9">
        <x:v>35.0</x:v>
      </x:c>
      <x:c r="K8" s="43" t="n">
        <x:f>D8*(1+Hoja1!$B$14)^2/Hoja1!$B$13*J8</x:f>
        <x:v>214220.1923076923</x:v>
      </x:c>
      <x:c r="L8" s="3" t="s">
        <x:v>160</x:v>
      </x:c>
      <x:c r="M8" s="3" t="s">
        <x:v>163</x:v>
      </x:c>
    </x:row>
    <x:row r="9">
      <x:c r="A9" s="3" t="s">
        <x:v>164</x:v>
      </x:c>
      <x:c r="B9" s="3" t="s">
        <x:v>165</x:v>
      </x:c>
      <x:c r="C9" s="3" t="s">
        <x:v>159</x:v>
      </x:c>
      <x:c r="D9" s="9">
        <x:v>23585.0</x:v>
      </x:c>
      <x:c r="E9" s="10" t="s">
        <x:v>105</x:v>
      </x:c>
      <x:c r="F9" s="10">
        <x:v>12.0</x:v>
      </x:c>
      <x:c r="G9" s="43" t="n">
        <x:f t="shared" ref="G9:G13" si="1">D9*F9</x:f>
        <x:v>283020</x:v>
      </x:c>
      <x:c r="H9" s="9">
        <x:v>12.0</x:v>
      </x:c>
      <x:c r="I9" s="43" t="n">
        <x:f>D9*(1+Hoja1!$B$14)*H9</x:f>
        <x:v>291510.6</x:v>
      </x:c>
      <x:c r="J9" s="9">
        <x:v>12.0</x:v>
      </x:c>
      <x:c r="K9" s="43" t="n">
        <x:f>D9*(1+Hoja1!$B$14)^2*J9</x:f>
        <x:v>300255.918</x:v>
      </x:c>
      <x:c r="L9" s="3" t="s">
        <x:v>160</x:v>
      </x:c>
      <x:c r="M9" s="3" t="s">
        <x:v>166</x:v>
      </x:c>
    </x:row>
    <x:row r="10">
      <x:c r="A10" s="3" t="s">
        <x:v>167</x:v>
      </x:c>
      <x:c r="B10" s="3" t="s">
        <x:v>114</x:v>
      </x:c>
      <x:c r="C10" s="3" t="s">
        <x:v>159</x:v>
      </x:c>
      <x:c r="D10" s="9">
        <x:v>9990.0</x:v>
      </x:c>
      <x:c r="E10" s="10" t="s">
        <x:v>115</x:v>
      </x:c>
      <x:c r="F10" s="10">
        <x:v>1.0</x:v>
      </x:c>
      <x:c r="G10" s="43">
        <x:f t="shared" si="1"/>
        <x:v>9990</x:v>
      </x:c>
      <x:c r="H10" s="9">
        <x:v>1.0</x:v>
      </x:c>
      <x:c r="I10" s="43" t="n">
        <x:f>D10*(1+Hoja1!$B$14)*H10</x:f>
        <x:v>10289.7</x:v>
      </x:c>
      <x:c r="J10" s="9">
        <x:v>1.0</x:v>
      </x:c>
      <x:c r="K10" s="43" t="n">
        <x:f>D10*(1+Hoja1!$B$14)^2*J10</x:f>
        <x:v>10598.391</x:v>
      </x:c>
      <x:c r="L10" s="3" t="s">
        <x:v>160</x:v>
      </x:c>
      <x:c r="M10" s="3" t="s">
        <x:v>168</x:v>
      </x:c>
    </x:row>
    <x:row r="11">
      <x:c r="A11" s="3" t="s">
        <x:v>169</x:v>
      </x:c>
      <x:c r="B11" s="3" t="s">
        <x:v>117</x:v>
      </x:c>
      <x:c r="C11" s="3" t="s">
        <x:v>159</x:v>
      </x:c>
      <x:c r="D11" s="9">
        <x:v>42017.0</x:v>
      </x:c>
      <x:c r="E11" s="10" t="s">
        <x:v>118</x:v>
      </x:c>
      <x:c r="F11" s="10">
        <x:v>4.0</x:v>
      </x:c>
      <x:c r="G11" s="43">
        <x:f t="shared" si="1"/>
        <x:v>168068</x:v>
      </x:c>
      <x:c r="H11" s="9">
        <x:v>3.0</x:v>
      </x:c>
      <x:c r="I11" s="43" t="n">
        <x:f>D11*(1+Hoja1!$B$14)*H11</x:f>
        <x:v>129832.53</x:v>
      </x:c>
      <x:c r="J11" s="9">
        <x:v>3.0</x:v>
      </x:c>
      <x:c r="K11" s="43" t="n">
        <x:f>D11*(1+Hoja1!$B$14)^2*J11</x:f>
        <x:v>133727.5059</x:v>
      </x:c>
      <x:c r="L11" s="3" t="s">
        <x:v>160</x:v>
      </x:c>
      <x:c r="M11" s="3" t="s">
        <x:v>170</x:v>
      </x:c>
    </x:row>
    <x:row r="12">
      <x:c r="A12" s="3" t="s">
        <x:v>169</x:v>
      </x:c>
      <x:c r="B12" s="3" t="s">
        <x:v>171</x:v>
      </x:c>
      <x:c r="C12" s="3" t="s">
        <x:v>159</x:v>
      </x:c>
      <x:c r="D12" s="9">
        <x:v>10000.0</x:v>
      </x:c>
      <x:c r="E12" s="10" t="s">
        <x:v>122</x:v>
      </x:c>
      <x:c r="F12" s="10">
        <x:v>5.0</x:v>
      </x:c>
      <x:c r="G12" s="43">
        <x:f t="shared" si="1"/>
        <x:v>50000</x:v>
      </x:c>
      <x:c r="H12" s="9">
        <x:v>3.0</x:v>
      </x:c>
      <x:c r="I12" s="43" t="n">
        <x:f>D12*(1+Hoja1!$B$14)*H12</x:f>
        <x:v>30900</x:v>
      </x:c>
      <x:c r="J12" s="9">
        <x:v>3.0</x:v>
      </x:c>
      <x:c r="K12" s="43" t="n">
        <x:f>D12*(1+Hoja1!$B$14)^2*J12</x:f>
        <x:v>31827</x:v>
      </x:c>
      <x:c r="L12" s="3" t="s">
        <x:v>160</x:v>
      </x:c>
      <x:c r="M12" s="3" t="s">
        <x:v>172</x:v>
      </x:c>
    </x:row>
    <x:row r="13">
      <x:c r="A13" s="3" t="s">
        <x:v>169</x:v>
      </x:c>
      <x:c r="B13" s="3" t="s">
        <x:v>173</x:v>
      </x:c>
      <x:c r="C13" s="3" t="s">
        <x:v>159</x:v>
      </x:c>
      <x:c r="D13" s="9">
        <x:v>50000.0</x:v>
      </x:c>
      <x:c r="E13" s="10" t="s">
        <x:v>174</x:v>
      </x:c>
      <x:c r="F13" s="10">
        <x:v>1.0</x:v>
      </x:c>
      <x:c r="G13" s="43">
        <x:f t="shared" si="1"/>
        <x:v>50000</x:v>
      </x:c>
      <x:c r="H13" s="9">
        <x:v>1.0</x:v>
      </x:c>
      <x:c r="I13" s="43" t="n">
        <x:f>D13*(1+Hoja1!$B$14)*H13</x:f>
        <x:v>51500</x:v>
      </x:c>
      <x:c r="J13" s="9">
        <x:v>1.0</x:v>
      </x:c>
      <x:c r="K13" s="43" t="n">
        <x:f>D13*(1+Hoja1!$B$14)^2*J13</x:f>
        <x:v>53045</x:v>
      </x:c>
      <x:c r="L13" s="3" t="s">
        <x:v>160</x:v>
      </x:c>
      <x:c r="M13" s="3" t="s">
        <x:v>175</x:v>
      </x:c>
    </x:row>
    <x:row r="14">
      <x:c r="A14" s="3" t="s">
        <x:v>176</x:v>
      </x:c>
      <x:c r="B14" s="3" t="s">
        <x:v>177</x:v>
      </x:c>
      <x:c r="C14" s="3" t="s">
        <x:v>178</x:v>
      </x:c>
      <x:c r="D14" s="9">
        <x:v>0.0</x:v>
      </x:c>
      <x:c r="E14" s="10" t="s">
        <x:v>143</x:v>
      </x:c>
      <x:c r="F14" s="10">
        <x:v>1.0</x:v>
      </x:c>
      <x:c r="G14" s="43">
        <x:v>0.0</x:v>
      </x:c>
      <x:c r="H14" s="9">
        <x:v>1.0</x:v>
      </x:c>
      <x:c r="I14" s="43">
        <x:v>0.0</x:v>
      </x:c>
      <x:c r="J14" s="9">
        <x:v>1.0</x:v>
      </x:c>
      <x:c r="K14" s="43">
        <x:v>0.0</x:v>
      </x:c>
      <x:c r="L14" s="3" t="s">
        <x:v>160</x:v>
      </x:c>
      <x:c r="M14" s="3" t="s">
        <x:v>179</x:v>
      </x:c>
    </x:row>
    <x:row r="15">
      <x:c r="A15" s="3" t="s">
        <x:v>180</x:v>
      </x:c>
      <x:c r="B15" s="3" t="s">
        <x:v>181</x:v>
      </x:c>
      <x:c r="C15" s="3" t="s">
        <x:v>182</x:v>
      </x:c>
      <x:c r="D15" s="9">
        <x:v>0.0</x:v>
      </x:c>
      <x:c r="E15" s="10" t="s">
        <x:v>143</x:v>
      </x:c>
      <x:c r="F15" s="10">
        <x:v>1.0</x:v>
      </x:c>
      <x:c r="G15" s="43">
        <x:v>0.0</x:v>
      </x:c>
      <x:c r="H15" s="9">
        <x:v>1.0</x:v>
      </x:c>
      <x:c r="I15" s="43">
        <x:v>0.0</x:v>
      </x:c>
      <x:c r="J15" s="9">
        <x:v>1.0</x:v>
      </x:c>
      <x:c r="K15" s="43">
        <x:v>0.0</x:v>
      </x:c>
      <x:c r="L15" s="3" t="s">
        <x:v>160</x:v>
      </x:c>
      <x:c r="M15" s="3" t="s">
        <x:v>183</x:v>
      </x:c>
    </x:row>
    <x:row r="16">
      <x:c r="A16" s="3" t="s">
        <x:v>180</x:v>
      </x:c>
      <x:c r="B16" s="3" t="s">
        <x:v>184</x:v>
      </x:c>
      <x:c r="C16" s="3" t="s">
        <x:v>182</x:v>
      </x:c>
      <x:c r="D16" s="9">
        <x:v>0.0</x:v>
      </x:c>
      <x:c r="E16" s="10" t="s">
        <x:v>143</x:v>
      </x:c>
      <x:c r="F16" s="10">
        <x:v>1.0</x:v>
      </x:c>
      <x:c r="G16" s="43">
        <x:v>0.0</x:v>
      </x:c>
      <x:c r="H16" s="9">
        <x:v>1.0</x:v>
      </x:c>
      <x:c r="I16" s="43">
        <x:v>0.0</x:v>
      </x:c>
      <x:c r="J16" s="9">
        <x:v>1.0</x:v>
      </x:c>
      <x:c r="K16" s="43">
        <x:v>0.0</x:v>
      </x:c>
      <x:c r="L16" s="3" t="s">
        <x:v>160</x:v>
      </x:c>
      <x:c r="M16" s="3" t="s">
        <x:v>185</x:v>
      </x:c>
    </x:row>
    <x:row r="17">
      <x:c r="A17" s="3" t="s">
        <x:v>180</x:v>
      </x:c>
      <x:c r="B17" s="3" t="s">
        <x:v>186</x:v>
      </x:c>
      <x:c r="C17" s="3" t="s">
        <x:v>187</x:v>
      </x:c>
      <x:c r="D17" s="9">
        <x:v>0.0</x:v>
      </x:c>
      <x:c r="E17" s="10" t="s">
        <x:v>143</x:v>
      </x:c>
      <x:c r="F17" s="10">
        <x:v>1.0</x:v>
      </x:c>
      <x:c r="G17" s="43">
        <x:v>0.0</x:v>
      </x:c>
      <x:c r="H17" s="9">
        <x:v>1.0</x:v>
      </x:c>
      <x:c r="I17" s="43">
        <x:v>0.0</x:v>
      </x:c>
      <x:c r="J17" s="9">
        <x:v>1.0</x:v>
      </x:c>
      <x:c r="K17" s="43">
        <x:v>0.0</x:v>
      </x:c>
      <x:c r="L17" s="3" t="s">
        <x:v>160</x:v>
      </x:c>
      <x:c r="M17" s="3" t="s">
        <x:v>188</x:v>
      </x:c>
    </x:row>
    <x:row r="18">
      <x:c r="A18" s="3" t="s">
        <x:v>189</x:v>
      </x:c>
      <x:c r="B18" s="3" t="s">
        <x:v>190</x:v>
      </x:c>
      <x:c r="C18" s="3" t="s">
        <x:v>191</x:v>
      </x:c>
      <x:c r="D18" s="9">
        <x:v>23585.0</x:v>
      </x:c>
      <x:c r="E18" s="10" t="s">
        <x:v>192</x:v>
      </x:c>
      <x:c r="F18" s="10">
        <x:v>0.0</x:v>
      </x:c>
      <x:c r="G18" s="43">
        <x:v>0.0</x:v>
      </x:c>
      <x:c r="H18" s="9">
        <x:v>0.0</x:v>
      </x:c>
      <x:c r="I18" s="43">
        <x:v>0.0</x:v>
      </x:c>
      <x:c r="J18" s="9">
        <x:v>0.0</x:v>
      </x:c>
      <x:c r="K18" s="43">
        <x:v>0.0</x:v>
      </x:c>
      <x:c r="L18" s="3" t="s">
        <x:v>193</x:v>
      </x:c>
      <x:c r="M18" s="3" t="s">
        <x:v>194</x:v>
      </x:c>
    </x:row>
    <x:row r="19">
      <x:c r="A19" s="3" t="s">
        <x:v>195</x:v>
      </x:c>
      <x:c r="B19" s="3" t="s">
        <x:v>196</x:v>
      </x:c>
      <x:c r="C19" s="3" t="s">
        <x:v>197</x:v>
      </x:c>
      <x:c r="D19" s="9">
        <x:v>215163.0</x:v>
      </x:c>
      <x:c r="E19" s="10" t="s">
        <x:v>198</x:v>
      </x:c>
      <x:c r="F19" s="10">
        <x:v>0.0</x:v>
      </x:c>
      <x:c r="G19" s="43">
        <x:v>0.0</x:v>
      </x:c>
      <x:c r="H19" s="9">
        <x:v>0.0</x:v>
      </x:c>
      <x:c r="I19" s="43">
        <x:v>0.0</x:v>
      </x:c>
      <x:c r="J19" s="9">
        <x:v>0.0</x:v>
      </x:c>
      <x:c r="K19" s="43">
        <x:v>0.0</x:v>
      </x:c>
      <x:c r="L19" s="3" t="s">
        <x:v>193</x:v>
      </x:c>
      <x:c r="M19" s="3" t="s">
        <x:v>199</x:v>
      </x:c>
    </x:row>
    <x:row r="20">
      <x:c r="A20" s="3" t="s">
        <x:v>195</x:v>
      </x:c>
      <x:c r="B20" s="3" t="s">
        <x:v>200</x:v>
      </x:c>
      <x:c r="C20" s="3" t="s">
        <x:v>197</x:v>
      </x:c>
      <x:c r="D20" s="9">
        <x:v>15000.0</x:v>
      </x:c>
      <x:c r="E20" s="10" t="s">
        <x:v>201</x:v>
      </x:c>
      <x:c r="F20" s="10">
        <x:v>0.0</x:v>
      </x:c>
      <x:c r="G20" s="43">
        <x:v>0.0</x:v>
      </x:c>
      <x:c r="H20" s="9">
        <x:v>0.0</x:v>
      </x:c>
      <x:c r="I20" s="43">
        <x:v>0.0</x:v>
      </x:c>
      <x:c r="J20" s="9">
        <x:v>0.0</x:v>
      </x:c>
      <x:c r="K20" s="43">
        <x:v>0.0</x:v>
      </x:c>
      <x:c r="L20" s="3" t="s">
        <x:v>193</x:v>
      </x:c>
      <x:c r="M20" s="3" t="s">
        <x:v>202</x:v>
      </x:c>
    </x:row>
    <x:row r="21" ht="15.75" customHeight="1">
      <x:c r="A21" s="3" t="s">
        <x:v>203</x:v>
      </x:c>
      <x:c r="B21" s="3" t="s">
        <x:v>204</x:v>
      </x:c>
      <x:c r="C21" s="3" t="s">
        <x:v>205</x:v>
      </x:c>
      <x:c r="D21" s="9">
        <x:v>15094.0</x:v>
      </x:c>
      <x:c r="E21" s="10" t="s">
        <x:v>206</x:v>
      </x:c>
      <x:c r="F21" s="10">
        <x:v>0.0</x:v>
      </x:c>
      <x:c r="G21" s="43">
        <x:v>0.0</x:v>
      </x:c>
      <x:c r="H21" s="9">
        <x:v>0.0</x:v>
      </x:c>
      <x:c r="I21" s="43">
        <x:v>0.0</x:v>
      </x:c>
      <x:c r="J21" s="9">
        <x:v>0.0</x:v>
      </x:c>
      <x:c r="K21" s="43">
        <x:v>0.0</x:v>
      </x:c>
      <x:c r="L21" s="3" t="s">
        <x:v>193</x:v>
      </x:c>
      <x:c r="M21" s="3" t="s">
        <x:v>207</x:v>
      </x:c>
    </x:row>
    <x:row r="22" ht="15.75" customHeight="1">
      <x:c r="A22" s="3" t="s">
        <x:v>208</x:v>
      </x:c>
      <x:c r="B22" s="3" t="s">
        <x:v>209</x:v>
      </x:c>
      <x:c r="C22" s="3" t="s">
        <x:v>205</x:v>
      </x:c>
      <x:c r="D22" s="9">
        <x:v>15094.0</x:v>
      </x:c>
      <x:c r="E22" s="10" t="s">
        <x:v>105</x:v>
      </x:c>
      <x:c r="F22" s="10">
        <x:v>0.0</x:v>
      </x:c>
      <x:c r="G22" s="43">
        <x:v>0.0</x:v>
      </x:c>
      <x:c r="H22" s="9">
        <x:v>0.0</x:v>
      </x:c>
      <x:c r="I22" s="43">
        <x:v>0.0</x:v>
      </x:c>
      <x:c r="J22" s="9">
        <x:v>0.0</x:v>
      </x:c>
      <x:c r="K22" s="43">
        <x:v>0.0</x:v>
      </x:c>
      <x:c r="L22" s="3" t="s">
        <x:v>193</x:v>
      </x:c>
      <x:c r="M22" s="3" t="s">
        <x:v>210</x:v>
      </x:c>
    </x:row>
    <x:row r="23" ht="15.75" customHeight="1">
      <x:c r="A23" s="3"/>
      <x:c r="B23" s="3"/>
      <x:c r="C23" s="3"/>
      <x:c r="D23" s="3"/>
      <x:c r="E23" s="3"/>
      <x:c r="F23" s="3"/>
      <x:c r="G23" s="43"/>
      <x:c r="H23" s="43"/>
      <x:c r="I23" s="43"/>
      <x:c r="J23" s="43"/>
      <x:c r="K23" s="43"/>
      <x:c r="L23" s="3"/>
      <x:c r="M23" s="3"/>
    </x:row>
    <x:row r="24" ht="15.75" customHeight="1">
      <x:c r="A24" s="162" t="s">
        <x:v>211</x:v>
      </x:c>
      <x:c r="B24" s="163"/>
      <x:c r="C24" s="163"/>
      <x:c r="D24" s="163"/>
      <x:c r="E24" s="163"/>
      <x:c r="F24" s="163"/>
      <x:c r="G24" s="164" t="n">
        <x:f>SUM(G5:G8)</x:f>
        <x:v>3216371.593406593</x:v>
      </x:c>
      <x:c r="H24" s="164"/>
      <x:c r="I24" s="164" t="n">
        <x:f>SUM(I5:I8)</x:f>
        <x:v>780607.910989011</x:v>
      </x:c>
      <x:c r="J24" s="164"/>
      <x:c r="K24" s="164" t="n">
        <x:f>SUM(K5:K8)</x:f>
        <x:v>804026.1483186812</x:v>
      </x:c>
      <x:c r="L24" s="162"/>
      <x:c r="M24" s="162"/>
    </x:row>
    <x:row r="25" ht="15.75" customHeight="1">
      <x:c r="A25" s="162" t="s">
        <x:v>212</x:v>
      </x:c>
      <x:c r="B25" s="163"/>
      <x:c r="C25" s="163"/>
      <x:c r="D25" s="163"/>
      <x:c r="E25" s="163"/>
      <x:c r="F25" s="163"/>
      <x:c r="G25" s="164" t="n">
        <x:f>SUM(G9:G13)</x:f>
        <x:v>561078</x:v>
      </x:c>
      <x:c r="H25" s="164"/>
      <x:c r="I25" s="164" t="n">
        <x:f>SUM(I9:I13)</x:f>
        <x:v>514032.82999999996</x:v>
      </x:c>
      <x:c r="J25" s="164"/>
      <x:c r="K25" s="164" t="n">
        <x:f>SUM(K9:K13)</x:f>
        <x:v>529453.8149</x:v>
      </x:c>
      <x:c r="L25" s="162"/>
      <x:c r="M25" s="162"/>
    </x:row>
    <x:row r="26" ht="15.75" customHeight="1">
      <x:c r="A26" s="165" t="s">
        <x:v>213</x:v>
      </x:c>
      <x:c r="B26" s="163"/>
      <x:c r="C26" s="163"/>
      <x:c r="D26" s="163"/>
      <x:c r="E26" s="163"/>
      <x:c r="F26" s="163"/>
      <x:c r="G26" s="166" t="n">
        <x:f>G24+G25</x:f>
        <x:v>3777449.593406593</x:v>
      </x:c>
      <x:c r="H26" s="166"/>
      <x:c r="I26" s="166" t="n">
        <x:f>I24+I25</x:f>
        <x:v>1294640.740989011</x:v>
      </x:c>
      <x:c r="J26" s="166"/>
      <x:c r="K26" s="166" t="n">
        <x:f>K24+K25</x:f>
        <x:v>1333479.963218681</x:v>
      </x:c>
      <x:c r="L26" s="165"/>
      <x:c r="M26" s="165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  <x:mergeCell ref="A24:F24"/>
    <x:mergeCell ref="A25:F25"/>
    <x:mergeCell ref="A26:F26"/>
  </x:mergeCells>
  <x:conditionalFormatting sqref="C5:C22">
    <x:cfRule type="expression" dxfId="0" priority="1">
      <x:formula>C5="Base"</x:formula>
    </x:cfRule>
  </x:conditionalFormatting>
  <x:conditionalFormatting sqref="C5:C22">
    <x:cfRule type="expression" dxfId="1" priority="2">
      <x:formula>OR(C5="Futuro / publicación",C5="Futuro / comercialización",C5="Opcional")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34" customWidth="1"/>
    <x:col min="3" max="3" width="22" customWidth="1"/>
    <x:col min="4" max="6" width="16" customWidth="1"/>
    <x:col min="7" max="7" width="10" customWidth="1"/>
    <x:col min="8" max="8" width="50" customWidth="1"/>
    <x:col min="9" max="26" width="8.710000038146973" customWidth="1"/>
  </x:cols>
  <x:sheetData>
    <x:row r="1">
      <x:c r="A1" s="160" t="s">
        <x:v>214</x:v>
      </x:c>
      <x:c r="I1" s="160"/>
      <x:c r="J1" s="160"/>
      <x:c r="K1" s="160"/>
      <x:c r="L1" s="160"/>
      <x:c r="M1" s="160"/>
    </x:row>
    <x:row r="2">
      <x:c r="A2" s="160" t="s">
        <x:v>215</x:v>
      </x:c>
      <x:c r="I2" s="160"/>
      <x:c r="J2" s="160"/>
      <x:c r="K2" s="160"/>
      <x:c r="L2" s="160"/>
      <x:c r="M2" s="160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61" t="s">
        <x:v>216</x:v>
      </x:c>
      <x:c r="B4" s="161" t="s">
        <x:v>217</x:v>
      </x:c>
      <x:c r="C4" s="161" t="s">
        <x:v>218</x:v>
      </x:c>
      <x:c r="D4" s="161" t="s">
        <x:v>219</x:v>
      </x:c>
      <x:c r="E4" s="161" t="s">
        <x:v>220</x:v>
      </x:c>
      <x:c r="F4" s="161" t="s">
        <x:v>90</x:v>
      </x:c>
      <x:c r="G4" s="161" t="s">
        <x:v>221</x:v>
      </x:c>
      <x:c r="H4" s="161" t="s">
        <x:v>222</x:v>
      </x:c>
      <x:c r="I4" s="3"/>
      <x:c r="J4" s="3"/>
      <x:c r="K4" s="3"/>
      <x:c r="L4" s="3"/>
      <x:c r="M4" s="3"/>
    </x:row>
    <x:row r="5">
      <x:c r="A5" s="98" t="s">
        <x:v>223</x:v>
      </x:c>
      <x:c r="B5" s="3" t="s">
        <x:v>224</x:v>
      </x:c>
      <x:c r="C5" s="3" t="s">
        <x:v>225</x:v>
      </x:c>
      <x:c r="D5" s="43">
        <x:v>23585.0</x:v>
      </x:c>
      <x:c r="E5" s="43" t="s">
        <x:v>226</x:v>
      </x:c>
      <x:c r="F5" s="43">
        <x:v>283020.0</x:v>
      </x:c>
      <x:c r="G5" s="3" t="s">
        <x:v>160</x:v>
      </x:c>
      <x:c r="H5" s="3" t="s">
        <x:v>227</x:v>
      </x:c>
      <x:c r="I5" s="3"/>
      <x:c r="J5" s="3"/>
      <x:c r="K5" s="3"/>
      <x:c r="L5" s="3"/>
      <x:c r="M5" s="3"/>
    </x:row>
    <x:row r="6">
      <x:c r="A6" s="98" t="s">
        <x:v>228</x:v>
      </x:c>
      <x:c r="B6" s="3" t="s">
        <x:v>229</x:v>
      </x:c>
      <x:c r="C6" s="3" t="s">
        <x:v>230</x:v>
      </x:c>
      <x:c r="D6" s="43">
        <x:v>0.0</x:v>
      </x:c>
      <x:c r="E6" s="43" t="s">
        <x:v>226</x:v>
      </x:c>
      <x:c r="F6" s="43">
        <x:v>0.0</x:v>
      </x:c>
      <x:c r="G6" s="3" t="s">
        <x:v>160</x:v>
      </x:c>
      <x:c r="H6" s="3" t="s">
        <x:v>231</x:v>
      </x:c>
      <x:c r="I6" s="3"/>
      <x:c r="J6" s="3"/>
      <x:c r="K6" s="3"/>
      <x:c r="L6" s="3"/>
      <x:c r="M6" s="3"/>
    </x:row>
    <x:row r="7">
      <x:c r="A7" s="98" t="s">
        <x:v>232</x:v>
      </x:c>
      <x:c r="B7" s="3" t="s">
        <x:v>233</x:v>
      </x:c>
      <x:c r="C7" s="3" t="s">
        <x:v>234</x:v>
      </x:c>
      <x:c r="D7" s="43">
        <x:v>0.0</x:v>
      </x:c>
      <x:c r="E7" s="43" t="s">
        <x:v>226</x:v>
      </x:c>
      <x:c r="F7" s="43">
        <x:v>0.0</x:v>
      </x:c>
      <x:c r="G7" s="3" t="s">
        <x:v>160</x:v>
      </x:c>
      <x:c r="H7" s="3" t="s">
        <x:v>231</x:v>
      </x:c>
      <x:c r="I7" s="3"/>
      <x:c r="J7" s="3"/>
      <x:c r="K7" s="3"/>
      <x:c r="L7" s="3"/>
      <x:c r="M7" s="3"/>
    </x:row>
    <x:row r="8">
      <x:c r="A8" s="98" t="s">
        <x:v>235</x:v>
      </x:c>
      <x:c r="B8" s="3" t="s">
        <x:v>236</x:v>
      </x:c>
      <x:c r="C8" s="3" t="s">
        <x:v>237</x:v>
      </x:c>
      <x:c r="D8" s="43">
        <x:v>0.0</x:v>
      </x:c>
      <x:c r="E8" s="43" t="s">
        <x:v>238</x:v>
      </x:c>
      <x:c r="F8" s="43">
        <x:v>0.0</x:v>
      </x:c>
      <x:c r="G8" s="3" t="s">
        <x:v>160</x:v>
      </x:c>
      <x:c r="H8" s="3" t="s">
        <x:v>239</x:v>
      </x:c>
      <x:c r="I8" s="3"/>
      <x:c r="J8" s="3"/>
      <x:c r="K8" s="3"/>
      <x:c r="L8" s="3"/>
      <x:c r="M8" s="3"/>
    </x:row>
    <x:row r="9">
      <x:c r="A9" s="98" t="s">
        <x:v>240</x:v>
      </x:c>
      <x:c r="B9" s="3" t="s">
        <x:v>241</x:v>
      </x:c>
      <x:c r="C9" s="3" t="s">
        <x:v>237</x:v>
      </x:c>
      <x:c r="D9" s="43">
        <x:v>0.0</x:v>
      </x:c>
      <x:c r="E9" s="43" t="s">
        <x:v>238</x:v>
      </x:c>
      <x:c r="F9" s="43">
        <x:v>0.0</x:v>
      </x:c>
      <x:c r="G9" s="3" t="s">
        <x:v>160</x:v>
      </x:c>
      <x:c r="H9" s="3" t="s">
        <x:v>242</x:v>
      </x:c>
      <x:c r="I9" s="3"/>
      <x:c r="J9" s="3"/>
      <x:c r="K9" s="3"/>
      <x:c r="L9" s="3"/>
      <x:c r="M9" s="3"/>
    </x:row>
    <x:row r="10">
      <x:c r="A10" s="98" t="s">
        <x:v>243</x:v>
      </x:c>
      <x:c r="B10" s="3" t="s">
        <x:v>244</x:v>
      </x:c>
      <x:c r="C10" s="3" t="s">
        <x:v>245</x:v>
      </x:c>
      <x:c r="D10" s="43">
        <x:v>0.0</x:v>
      </x:c>
      <x:c r="E10" s="43" t="s">
        <x:v>238</x:v>
      </x:c>
      <x:c r="F10" s="43">
        <x:v>0.0</x:v>
      </x:c>
      <x:c r="G10" s="3" t="s">
        <x:v>160</x:v>
      </x:c>
      <x:c r="H10" s="3" t="s">
        <x:v>246</x:v>
      </x:c>
      <x:c r="I10" s="3"/>
      <x:c r="J10" s="3"/>
      <x:c r="K10" s="3"/>
      <x:c r="L10" s="3"/>
      <x:c r="M10" s="3"/>
    </x:row>
    <x:row r="11">
      <x:c r="A11" s="98" t="s">
        <x:v>247</x:v>
      </x:c>
      <x:c r="B11" s="3" t="s">
        <x:v>248</x:v>
      </x:c>
      <x:c r="C11" s="3" t="s">
        <x:v>237</x:v>
      </x:c>
      <x:c r="D11" s="43">
        <x:v>0.0</x:v>
      </x:c>
      <x:c r="E11" s="43" t="s">
        <x:v>238</x:v>
      </x:c>
      <x:c r="F11" s="43">
        <x:v>0.0</x:v>
      </x:c>
      <x:c r="G11" s="3" t="s">
        <x:v>160</x:v>
      </x:c>
      <x:c r="H11" s="3" t="s">
        <x:v>249</x:v>
      </x:c>
      <x:c r="I11" s="3"/>
      <x:c r="J11" s="3"/>
      <x:c r="K11" s="3"/>
      <x:c r="L11" s="3"/>
      <x:c r="M11" s="3"/>
    </x:row>
    <x:row r="12">
      <x:c r="A12" s="98" t="s">
        <x:v>250</x:v>
      </x:c>
      <x:c r="B12" s="3" t="s">
        <x:v>251</x:v>
      </x:c>
      <x:c r="C12" s="3" t="s">
        <x:v>252</x:v>
      </x:c>
      <x:c r="D12" s="43">
        <x:v>0.0</x:v>
      </x:c>
      <x:c r="E12" s="43" t="s">
        <x:v>238</x:v>
      </x:c>
      <x:c r="F12" s="43">
        <x:v>0.0</x:v>
      </x:c>
      <x:c r="G12" s="3" t="s">
        <x:v>160</x:v>
      </x:c>
      <x:c r="H12" s="3" t="s">
        <x:v>253</x:v>
      </x:c>
      <x:c r="I12" s="3"/>
      <x:c r="J12" s="3"/>
      <x:c r="K12" s="3"/>
      <x:c r="L12" s="3"/>
      <x:c r="M12" s="3"/>
    </x:row>
    <x:row r="13">
      <x:c r="A13" s="98" t="s">
        <x:v>254</x:v>
      </x:c>
      <x:c r="B13" s="3" t="s">
        <x:v>255</x:v>
      </x:c>
      <x:c r="C13" s="3" t="s">
        <x:v>256</x:v>
      </x:c>
      <x:c r="D13" s="43">
        <x:v>0.0</x:v>
      </x:c>
      <x:c r="E13" s="43" t="s">
        <x:v>238</x:v>
      </x:c>
      <x:c r="F13" s="43">
        <x:v>0.0</x:v>
      </x:c>
      <x:c r="G13" s="3" t="s">
        <x:v>160</x:v>
      </x:c>
      <x:c r="H13" s="3" t="s">
        <x:v>257</x:v>
      </x:c>
      <x:c r="I13" s="3"/>
      <x:c r="J13" s="3"/>
      <x:c r="K13" s="3"/>
      <x:c r="L13" s="3"/>
      <x:c r="M13" s="3"/>
    </x:row>
    <x:row r="14">
      <x:c r="A14" s="98" t="s">
        <x:v>76</x:v>
      </x:c>
      <x:c r="B14" s="3" t="s">
        <x:v>258</x:v>
      </x:c>
      <x:c r="C14" s="3" t="s">
        <x:v>259</x:v>
      </x:c>
      <x:c r="D14" s="43">
        <x:v>0.0</x:v>
      </x:c>
      <x:c r="E14" s="43" t="s">
        <x:v>238</x:v>
      </x:c>
      <x:c r="F14" s="43">
        <x:v>0.0</x:v>
      </x:c>
      <x:c r="G14" s="3" t="s">
        <x:v>160</x:v>
      </x:c>
      <x:c r="H14" s="3" t="s">
        <x:v>260</x:v>
      </x:c>
      <x:c r="I14" s="3"/>
      <x:c r="J14" s="3"/>
      <x:c r="K14" s="3"/>
      <x:c r="L14" s="3"/>
      <x:c r="M14" s="3"/>
    </x:row>
    <x:row r="15">
      <x:c r="A15" s="98" t="s">
        <x:v>261</x:v>
      </x:c>
      <x:c r="B15" s="3" t="s">
        <x:v>262</x:v>
      </x:c>
      <x:c r="C15" s="3" t="s">
        <x:v>237</x:v>
      </x:c>
      <x:c r="D15" s="43">
        <x:v>0.0</x:v>
      </x:c>
      <x:c r="E15" s="43" t="s">
        <x:v>238</x:v>
      </x:c>
      <x:c r="F15" s="43">
        <x:v>0.0</x:v>
      </x:c>
      <x:c r="G15" s="3" t="s">
        <x:v>160</x:v>
      </x:c>
      <x:c r="H15" s="3" t="s">
        <x:v>263</x:v>
      </x:c>
      <x:c r="I15" s="3"/>
      <x:c r="J15" s="3"/>
      <x:c r="K15" s="3"/>
      <x:c r="L15" s="3"/>
      <x:c r="M15" s="3"/>
    </x:row>
    <x:row r="16">
      <x:c r="A16" s="98" t="s">
        <x:v>264</x:v>
      </x:c>
      <x:c r="B16" s="3" t="s">
        <x:v>265</x:v>
      </x:c>
      <x:c r="C16" s="3" t="s">
        <x:v>266</x:v>
      </x:c>
      <x:c r="D16" s="43">
        <x:v>0.0</x:v>
      </x:c>
      <x:c r="E16" s="43" t="s">
        <x:v>238</x:v>
      </x:c>
      <x:c r="F16" s="43">
        <x:v>0.0</x:v>
      </x:c>
      <x:c r="G16" s="3" t="s">
        <x:v>160</x:v>
      </x:c>
      <x:c r="H16" s="3" t="s">
        <x:v>267</x:v>
      </x:c>
      <x:c r="I16" s="3"/>
      <x:c r="J16" s="3"/>
      <x:c r="K16" s="3"/>
      <x:c r="L16" s="3"/>
      <x:c r="M16" s="3"/>
    </x:row>
    <x:row r="17">
      <x:c r="A17" s="98" t="s">
        <x:v>268</x:v>
      </x:c>
      <x:c r="B17" s="3" t="s">
        <x:v>269</x:v>
      </x:c>
      <x:c r="C17" s="3" t="s">
        <x:v>270</x:v>
      </x:c>
      <x:c r="D17" s="43">
        <x:v>0.0</x:v>
      </x:c>
      <x:c r="E17" s="43" t="s">
        <x:v>238</x:v>
      </x:c>
      <x:c r="F17" s="43">
        <x:v>0.0</x:v>
      </x:c>
      <x:c r="G17" s="3" t="s">
        <x:v>160</x:v>
      </x:c>
      <x:c r="H17" s="3" t="s">
        <x:v>271</x:v>
      </x:c>
      <x:c r="I17" s="3"/>
      <x:c r="J17" s="3"/>
      <x:c r="K17" s="3"/>
      <x:c r="L17" s="3"/>
      <x:c r="M17" s="3"/>
    </x:row>
    <x:row r="18">
      <x:c r="A18" s="98" t="s">
        <x:v>114</x:v>
      </x:c>
      <x:c r="B18" s="3" t="s">
        <x:v>272</x:v>
      </x:c>
      <x:c r="C18" s="3" t="s">
        <x:v>273</x:v>
      </x:c>
      <x:c r="D18" s="43">
        <x:v>9990.0</x:v>
      </x:c>
      <x:c r="E18" s="43" t="s">
        <x:v>274</x:v>
      </x:c>
      <x:c r="F18" s="43">
        <x:v>9990.0</x:v>
      </x:c>
      <x:c r="G18" s="3" t="s">
        <x:v>160</x:v>
      </x:c>
      <x:c r="H18" s="3" t="s">
        <x:v>275</x:v>
      </x:c>
      <x:c r="I18" s="3"/>
      <x:c r="J18" s="3"/>
      <x:c r="K18" s="3"/>
      <x:c r="L18" s="3"/>
      <x:c r="M18" s="3"/>
    </x:row>
    <x:row r="19">
      <x:c r="A19" s="98" t="s">
        <x:v>276</x:v>
      </x:c>
      <x:c r="B19" s="3" t="s">
        <x:v>277</x:v>
      </x:c>
      <x:c r="C19" s="3" t="s">
        <x:v>278</x:v>
      </x:c>
      <x:c r="D19" s="43">
        <x:v>23585.0</x:v>
      </x:c>
      <x:c r="E19" s="43" t="s">
        <x:v>279</x:v>
      </x:c>
      <x:c r="F19" s="43">
        <x:v>0.0</x:v>
      </x:c>
      <x:c r="G19" s="3" t="s">
        <x:v>193</x:v>
      </x:c>
      <x:c r="H19" s="3" t="s">
        <x:v>280</x:v>
      </x:c>
      <x:c r="I19" s="3"/>
      <x:c r="J19" s="3"/>
      <x:c r="K19" s="3"/>
      <x:c r="L19" s="3"/>
      <x:c r="M19" s="3"/>
    </x:row>
    <x:row r="20">
      <x:c r="A20" s="98" t="s">
        <x:v>281</x:v>
      </x:c>
      <x:c r="B20" s="3" t="s">
        <x:v>282</x:v>
      </x:c>
      <x:c r="C20" s="3" t="s">
        <x:v>283</x:v>
      </x:c>
      <x:c r="D20" s="43">
        <x:v>15094.0</x:v>
      </x:c>
      <x:c r="E20" s="43" t="s">
        <x:v>284</x:v>
      </x:c>
      <x:c r="F20" s="43">
        <x:v>0.0</x:v>
      </x:c>
      <x:c r="G20" s="3" t="s">
        <x:v>193</x:v>
      </x:c>
      <x:c r="H20" s="3" t="s">
        <x:v>231</x:v>
      </x:c>
      <x:c r="I20" s="3"/>
      <x:c r="J20" s="3"/>
      <x:c r="K20" s="3"/>
      <x:c r="L20" s="3"/>
      <x:c r="M20" s="3"/>
    </x:row>
    <x:row r="21" ht="15.75" customHeight="1">
      <x:c r="A21" s="98" t="s">
        <x:v>285</x:v>
      </x:c>
      <x:c r="B21" s="3" t="s">
        <x:v>286</x:v>
      </x:c>
      <x:c r="C21" s="3" t="s">
        <x:v>287</x:v>
      </x:c>
      <x:c r="D21" s="43">
        <x:v>15094.0</x:v>
      </x:c>
      <x:c r="E21" s="43" t="s">
        <x:v>226</x:v>
      </x:c>
      <x:c r="F21" s="43">
        <x:v>0.0</x:v>
      </x:c>
      <x:c r="G21" s="3" t="s">
        <x:v>193</x:v>
      </x:c>
      <x:c r="H21" s="3" t="s">
        <x:v>288</x:v>
      </x:c>
      <x:c r="I21" s="3"/>
      <x:c r="J21" s="3"/>
      <x:c r="K21" s="3"/>
      <x:c r="L21" s="3"/>
      <x:c r="M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2:H2"/>
  </x:mergeCells>
  <x:conditionalFormatting sqref="G5:G21">
    <x:cfRule type="expression" dxfId="0" priority="1">
      <x:formula>G5="Sí"</x:formula>
    </x:cfRule>
  </x:conditionalFormatting>
  <x:conditionalFormatting sqref="G5:G21">
    <x:cfRule type="expression" dxfId="1" priority="2">
      <x:formula>G5="No"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32" customWidth="1"/>
    <x:col min="2" max="2" width="16" customWidth="1"/>
    <x:col min="3" max="5" width="28" customWidth="1"/>
    <x:col min="6" max="7" width="34" customWidth="1"/>
    <x:col min="8" max="26" width="8.710000038146973" customWidth="1"/>
  </x:cols>
  <x:sheetData>
    <x:row r="1">
      <x:c r="A1" s="160" t="s">
        <x:v>289</x:v>
      </x:c>
      <x:c r="H1" s="160"/>
      <x:c r="I1" s="160"/>
      <x:c r="J1" s="160"/>
      <x:c r="K1" s="160"/>
      <x:c r="L1" s="160"/>
      <x:c r="M1" s="160"/>
    </x:row>
    <x:row r="2">
      <x:c r="A2" s="160"/>
      <x:c r="B2" s="160"/>
      <x:c r="C2" s="160"/>
      <x:c r="D2" s="160"/>
      <x:c r="E2" s="160"/>
      <x:c r="F2" s="160"/>
      <x:c r="G2" s="160"/>
      <x:c r="H2" s="160"/>
      <x:c r="I2" s="160"/>
      <x:c r="J2" s="160"/>
      <x:c r="K2" s="160"/>
      <x:c r="L2" s="160"/>
      <x:c r="M2" s="160"/>
    </x:row>
    <x:row r="3">
      <x:c r="A3" s="161" t="s">
        <x:v>87</x:v>
      </x:c>
      <x:c r="B3" s="161" t="s">
        <x:v>58</x:v>
      </x:c>
      <x:c r="C3" s="161" t="s">
        <x:v>290</x:v>
      </x:c>
      <x:c r="D3" s="161" t="s">
        <x:v>291</x:v>
      </x:c>
      <x:c r="E3" s="161" t="s">
        <x:v>292</x:v>
      </x:c>
      <x:c r="F3" s="161" t="s">
        <x:v>293</x:v>
      </x:c>
      <x:c r="G3" s="161" t="s">
        <x:v>52</x:v>
      </x:c>
      <x:c r="H3" s="3"/>
      <x:c r="I3" s="3"/>
      <x:c r="J3" s="3"/>
      <x:c r="K3" s="3"/>
      <x:c r="L3" s="3"/>
      <x:c r="M3" s="3"/>
    </x:row>
    <x:row r="4">
      <x:c r="A4" s="3" t="s">
        <x:v>276</x:v>
      </x:c>
      <x:c r="B4" s="43">
        <x:v>23585.0</x:v>
      </x:c>
      <x:c r="C4" s="3" t="s">
        <x:v>294</x:v>
      </x:c>
      <x:c r="D4" s="3" t="s">
        <x:v>193</x:v>
      </x:c>
      <x:c r="E4" s="3" t="s">
        <x:v>295</x:v>
      </x:c>
      <x:c r="F4" s="3" t="s">
        <x:v>280</x:v>
      </x:c>
      <x:c r="G4" s="3" t="s">
        <x:v>296</x:v>
      </x:c>
      <x:c r="H4" s="3"/>
      <x:c r="I4" s="3"/>
      <x:c r="J4" s="3"/>
      <x:c r="K4" s="3"/>
      <x:c r="L4" s="3"/>
      <x:c r="M4" s="3"/>
    </x:row>
    <x:row r="5">
      <x:c r="A5" s="3" t="s">
        <x:v>297</x:v>
      </x:c>
      <x:c r="B5" s="43">
        <x:v>215163.0</x:v>
      </x:c>
      <x:c r="C5" s="3" t="s">
        <x:v>298</x:v>
      </x:c>
      <x:c r="D5" s="3" t="s">
        <x:v>193</x:v>
      </x:c>
      <x:c r="E5" s="3" t="s">
        <x:v>299</x:v>
      </x:c>
      <x:c r="F5" s="3" t="s">
        <x:v>300</x:v>
      </x:c>
      <x:c r="G5" s="3" t="s">
        <x:v>301</x:v>
      </x:c>
      <x:c r="H5" s="3"/>
      <x:c r="I5" s="3"/>
      <x:c r="J5" s="3"/>
      <x:c r="K5" s="3"/>
      <x:c r="L5" s="3"/>
      <x:c r="M5" s="3"/>
    </x:row>
    <x:row r="6">
      <x:c r="A6" s="3" t="s">
        <x:v>302</x:v>
      </x:c>
      <x:c r="B6" s="43">
        <x:v>15000.0</x:v>
      </x:c>
      <x:c r="C6" s="3" t="s">
        <x:v>303</x:v>
      </x:c>
      <x:c r="D6" s="3" t="s">
        <x:v>193</x:v>
      </x:c>
      <x:c r="E6" s="3" t="s">
        <x:v>304</x:v>
      </x:c>
      <x:c r="F6" s="3" t="s">
        <x:v>305</x:v>
      </x:c>
      <x:c r="G6" s="3" t="s">
        <x:v>306</x:v>
      </x:c>
      <x:c r="H6" s="3"/>
      <x:c r="I6" s="3"/>
      <x:c r="J6" s="3"/>
      <x:c r="K6" s="3"/>
      <x:c r="L6" s="3"/>
      <x:c r="M6" s="3"/>
    </x:row>
    <x:row r="7">
      <x:c r="A7" s="3" t="s">
        <x:v>307</x:v>
      </x:c>
      <x:c r="B7" s="43">
        <x:v>15094.0</x:v>
      </x:c>
      <x:c r="C7" s="3" t="s">
        <x:v>308</x:v>
      </x:c>
      <x:c r="D7" s="3" t="s">
        <x:v>193</x:v>
      </x:c>
      <x:c r="E7" s="3" t="s">
        <x:v>309</x:v>
      </x:c>
      <x:c r="F7" s="3" t="s">
        <x:v>231</x:v>
      </x:c>
      <x:c r="G7" s="3" t="s">
        <x:v>310</x:v>
      </x:c>
      <x:c r="H7" s="3"/>
      <x:c r="I7" s="3"/>
      <x:c r="J7" s="3"/>
      <x:c r="K7" s="3"/>
      <x:c r="L7" s="3"/>
      <x:c r="M7" s="3"/>
    </x:row>
    <x:row r="8">
      <x:c r="A8" s="3" t="s">
        <x:v>311</x:v>
      </x:c>
      <x:c r="B8" s="43">
        <x:v>15094.0</x:v>
      </x:c>
      <x:c r="C8" s="3" t="s">
        <x:v>312</x:v>
      </x:c>
      <x:c r="D8" s="3" t="s">
        <x:v>193</x:v>
      </x:c>
      <x:c r="E8" s="3" t="s">
        <x:v>313</x:v>
      </x:c>
      <x:c r="F8" s="3" t="s">
        <x:v>288</x:v>
      </x:c>
      <x:c r="G8" s="3" t="s">
        <x:v>314</x:v>
      </x:c>
      <x:c r="H8" s="3"/>
      <x:c r="I8" s="3"/>
      <x:c r="J8" s="3"/>
      <x:c r="K8" s="3"/>
      <x:c r="L8" s="3"/>
      <x:c r="M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15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15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5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5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5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5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5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5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5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</x:mergeCells>
  <x:pageMargins left="0.7" right="0.7" top="0.75" bottom="0.75" header="0.3" footer="0.3"/>
</x:worksheet>
</file>