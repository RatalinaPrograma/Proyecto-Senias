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cfdf5e08994b9c" /></Relationships>
</file>

<file path=xl/workbook.xml><?xml version="1.0" encoding="utf-8"?>
<x:workbook xmlns:x="http://schemas.openxmlformats.org/spreadsheetml/2006/main">
  <x:sheets>
    <x:sheet xmlns:r="http://schemas.openxmlformats.org/officeDocument/2006/relationships" name="Control de costes" sheetId="44" r:id="R1da5d0c128ce4ffe"/>
    <x:sheet xmlns:r="http://schemas.openxmlformats.org/officeDocument/2006/relationships" name="Instrucciones" sheetId="45" r:id="Rc85539a86af94118"/>
    <x:sheet xmlns:r="http://schemas.openxmlformats.org/officeDocument/2006/relationships" name="Signy" sheetId="46" r:id="R0cec214169e24290"/>
  </x:sheets>
  <x:definedNames>
    <x:definedName name="APL">#REF!</x:definedName>
    <x:definedName name="APL_Tel">#REF!</x:definedName>
    <x:definedName name="CAD">#REF!</x:definedName>
    <x:definedName name="CAD_Tel">#REF!</x:definedName>
    <x:definedName name="Commissioning_Engineer">#REF!</x:definedName>
    <x:definedName name="Commissioning_Engineer_Tel">#REF!</x:definedName>
    <x:definedName name="CPH">#REF!</x:definedName>
    <x:definedName name="CPH_Tel">#REF!</x:definedName>
    <x:definedName name="Customer">#REF!</x:definedName>
    <x:definedName name="Electrical_Engineer">#REF!</x:definedName>
    <x:definedName name="Electrical_Engineer_Tel">#REF!</x:definedName>
    <x:definedName name="Health_Safety">#REF!</x:definedName>
    <x:definedName name="Health_Safety_Tel">#REF!</x:definedName>
    <x:definedName name="Im_Phase_Project_Manager">#REF!</x:definedName>
    <x:definedName name="Im_Phase_Project_Manager_Tel">#REF!</x:definedName>
    <x:definedName name="Master_Path">#REF!</x:definedName>
    <x:definedName name="PreProject_Leader">#REF!</x:definedName>
    <x:definedName name="PreProject_Leader_Tel">#REF!</x:definedName>
    <x:definedName name="Process_Engineer">#REF!</x:definedName>
    <x:definedName name="Process_Engineer_Tel">#REF!</x:definedName>
    <x:definedName name="Proj_Num">#REF!</x:definedName>
    <x:definedName name="Proj_Path">#REF!</x:definedName>
    <x:definedName name="Proj_Title">#REF!</x:definedName>
    <x:definedName name="Sales_Leader">#REF!</x:definedName>
    <x:definedName name="Sales_Leader_Tel">#REF!</x:definedName>
    <x:definedName name="Sales_Phase_Project_Manager">#REF!</x:definedName>
    <x:definedName name="Sales_Phase_Project_Manager_Tel">#REF!</x:definedName>
    <x:definedName name="Site">#REF!</x:definedName>
    <x:definedName name="Site_Manager">#REF!</x:definedName>
    <x:definedName name="Site_Manager_Tel">#REF!</x:definedName>
    <x:definedName name="TPL">#REF!</x:definedName>
    <x:definedName name="TPL_Tel">#REF!</x:definedName>
    <x:definedName name="TSS_Responsible">#REF!</x:definedName>
    <x:definedName name="TSS_Responsible_Tel">#REF!</x:definedName>
    <x:definedName name="Utility_Engineer">#REF!</x:definedName>
    <x:definedName name="Utility_Engineer_Tel">#REF!</x:definedName>
  </x:definedNames>
</x:workbook>
</file>

<file path=xl/sharedStrings.xml><?xml version="1.0" encoding="utf-8"?>
<x:sst xmlns:x="http://schemas.openxmlformats.org/spreadsheetml/2006/main">
  <x:si>
    <x:t xml:space="preserve">Actualizado: (Fecha)</x:t>
  </x:si>
  <x:si>
    <x:t xml:space="preserve">Explicación de los cambios en SAP</x:t>
  </x:si>
  <x:si>
    <x:t xml:space="preserve">Presupuesto inicial</x:t>
  </x:si>
  <x:si>
    <x:t xml:space="preserve">Presupuesto actual</x:t>
  </x:si>
  <x:si>
    <x:t xml:space="preserve">Costes actuales</x:t>
  </x:si>
  <x:si>
    <x:r>
      <x:t xml:space="preserve">Costes comprometidos </x:t>
    </x:r>
    <x:r>
      <x:rPr>
        <x:sz val="8"/>
        <x:rFont val="Arial"/>
        <x:family val="2"/>
      </x:rPr>
      <x:t xml:space="preserve">(pedidos realizados no pagados) </x:t>
    </x:r>
  </x:si>
  <x:si>
    <x:t xml:space="preserve">Costes hasta el final del proyecto</x:t>
  </x:si>
  <x:si>
    <x:t xml:space="preserve">Coste total esperado</x:t>
  </x:si>
  <x:si>
    <x:t xml:space="preserve">Cambio necesario en SAP</x:t>
  </x:si>
  <x:si>
    <x:t xml:space="preserve">Partes no incluidas en contrato de equipo principal 2</x:t>
  </x:si>
  <x:si>
    <x:t xml:space="preserve">Ahorro en ingeniería y material de proceso</x:t>
  </x:si>
  <x:si>
    <x:t xml:space="preserve">Cambios en coste de instalación</x:t>
  </x:si>
  <x:si>
    <x:t xml:space="preserve">Ahorro en management</x:t>
  </x:si>
  <x:si>
    <x:t xml:space="preserve">(Fecha)</x:t>
  </x:si>
  <x:si>
    <x:t xml:space="preserve">(Fecha de última actualización)</x:t>
  </x:si>
  <x:si>
    <x:t xml:space="preserve">Precio de venta</x:t>
  </x:si>
  <x:si>
    <x:t xml:space="preserve">Coste total de implementación</x:t>
  </x:si>
  <x:si>
    <x:t xml:space="preserve">Management</x:t>
  </x:si>
  <x:si>
    <x:t xml:space="preserve">Viajes</x:t>
  </x:si>
  <x:si>
    <x:t xml:space="preserve">Gestión de proyecto</x:t>
  </x:si>
  <x:si>
    <x:t xml:space="preserve">Dirección técnica</x:t>
  </x:si>
  <x:si>
    <x:t xml:space="preserve">Gastos de organización</x:t>
  </x:si>
  <x:si>
    <x:t xml:space="preserve">Dirección de obra</x:t>
  </x:si>
  <x:si>
    <x:t xml:space="preserve">Training</x:t>
  </x:si>
  <x:si>
    <x:t xml:space="preserve">Ingeniería de proceso</x:t>
  </x:si>
  <x:si>
    <x:t xml:space="preserve">Descripción de proceso</x:t>
  </x:si>
  <x:si>
    <x:t xml:space="preserve">Planificación 3D</x:t>
  </x:si>
  <x:si>
    <x:t xml:space="preserve">Ingeniería de automatización</x:t>
  </x:si>
  <x:si>
    <x:t xml:space="preserve">Ingeniería de control</x:t>
  </x:si>
  <x:si>
    <x:t xml:space="preserve">HMI</x:t>
  </x:si>
  <x:si>
    <x:t xml:space="preserve">Integración</x:t>
  </x:si>
  <x:si>
    <x:t xml:space="preserve">Testeado</x:t>
  </x:si>
  <x:si>
    <x:t xml:space="preserve">Ingeniería eléctrica</x:t>
  </x:si>
  <x:si>
    <x:t xml:space="preserve">Ingeniería eléctrica general</x:t>
  </x:si>
  <x:si>
    <x:t xml:space="preserve">Cableado</x:t>
  </x:si>
  <x:si>
    <x:t xml:space="preserve">Armarios eléctricos</x:t>
  </x:si>
  <x:si>
    <x:t xml:space="preserve">Equipos</x:t>
  </x:si>
  <x:si>
    <x:t xml:space="preserve">Componente principal 1</x:t>
  </x:si>
  <x:si>
    <x:t xml:space="preserve">Componente principal 2</x:t>
  </x:si>
  <x:si>
    <x:t xml:space="preserve">Componente principal 3</x:t>
  </x:si>
  <x:si>
    <x:t xml:space="preserve">Válvulas</x:t>
  </x:si>
  <x:si>
    <x:t xml:space="preserve">Tuberías</x:t>
  </x:si>
  <x:si>
    <x:t xml:space="preserve">Instrumentación</x:t>
  </x:si>
  <x:si>
    <x:t xml:space="preserve">Automatización</x:t>
  </x:si>
  <x:si>
    <x:t xml:space="preserve">Aparamenta eléctrica</x:t>
  </x:si>
  <x:si>
    <x:t xml:space="preserve">Repuestos</x:t>
  </x:si>
  <x:si>
    <x:t xml:space="preserve">Transporte</x:t>
  </x:si>
  <x:si>
    <x:t xml:space="preserve">Instalación</x:t>
  </x:si>
  <x:si>
    <x:t xml:space="preserve">Equipamiento de obra</x:t>
  </x:si>
  <x:si>
    <x:t xml:space="preserve">Grúas</x:t>
  </x:si>
  <x:si>
    <x:t xml:space="preserve">Instalación mecánica</x:t>
  </x:si>
  <x:si>
    <x:t xml:space="preserve">Instalación eléctrica</x:t>
  </x:si>
  <x:si>
    <x:t xml:space="preserve">Obra civil</x:t>
  </x:si>
  <x:si>
    <x:t xml:space="preserve">Puesta en marcha</x:t>
  </x:si>
  <x:si>
    <x:t xml:space="preserve">I/O checks</x:t>
  </x:si>
  <x:si>
    <x:t xml:space="preserve">Otros</x:t>
  </x:si>
  <x:si>
    <x:t xml:space="preserve">Contract management</x:t>
  </x:si>
  <x:si>
    <x:t xml:space="preserve">Costes legales</x:t>
  </x:si>
  <x:si>
    <x:t xml:space="preserve">Garantía</x:t>
  </x:si>
  <x:si>
    <x:t xml:space="preserve">Riesgos</x:t>
  </x:si>
  <x:si>
    <x:t xml:space="preserve">Cómo funciona la Plantilla para Control de Gastos del Proyecto
La primera columna es una distribución de los diferentes bloques de gastos en SAP o en el sistema de control de gastos que utilice nuestra empresa. Los tipos de gastos se acumulan en apartados. Así, por ejemplo en la línea 24 encontramos “Ingeniería eléctrica”, que será la suma de las líneas 25 a 28. En las líneas 4 y 5 veremos el precio de venta y los costes totales del proyecto (la suma de todos los apartados). Para empezar deberás por lo tanto adaptar las líneas de esta columna para que representen los tipos y bloques de gastos de tu proyecto.
En la segunda columna (B) deberemos tener la información sobre el cálculo inicial del proyecto o budget (hecho normalmente por el departamento de ventas). Esta columna nos dará la información inicial sobre el presupuesto adjudicado a cada una de las partidas de gastos.
La columna C contiene el presupuesto actualizado después de la última revisión del proyecto (que se realizará normalmente cada mes).
La columna D indica los costes reales que se han acumulado hasta hoy, bien en forma de horas de trabajo (facturación interna) o por facturas de proveedores recibidas hasta la fecha.
Los costes comprometidos, indicados en la columna E, aparecen cuando realizamos un pedido a un precio acordado (como podría ser el montaje) pero todavía no hemos recibido todas las facturas correspondientes a dicho pedido. Es decir, sabemos que vamos a recibir facturas por el valor indicado en dicha columna.
Toda la información contenida en las columnas B a E deberán obtenerse de SAP o del sistema de gestión que utilice nuestra empresa. En empresas pequeñas sin un sistema de este tipo, recibiremos la información del departamento de administración directamente o deberemos actualizarla nosotros mismos o el controller que se encargue del proyecto.
Nuestro verdadero trabajo como Gestores de Proyectos lo realizamos en la columna F, la cual he marcado en amarillo para indicar que requiere de nuestro input. Aquí deberemos conocer el estado actual del proyecto, hablar con los responsables de cada área si es necesario y averiguar y calcular los costes adicionales que serán necesarios hasta finalizar el proyecto. Esto es el caso para todos los gastos como viajes, equipos y suministros, montaje, costes de ingeniería, etc.
Una vez introducidos los datos en la columna F, la tabla calcula cuáles serán los gastos totales hasta finalizar el proyecto (la columna G es la suma de D, E y F), y el cambio con respecto al presupuesto acordado el mes anterior. Este cambio con respecto a la última revisión representa por lo tanto la diferencia que deberíamos introducir en SAP para actualizar el presupuesto, y por lo tanto la diferencia total que tendremos en el margen del proyecto (que podrá ser positiva o negativa dependiendo de si hemos gastado más o menos de lo previsto).
Dicho de otro modo, el cambio necesario en los costes del proyecto (columna H) es el coste total esperado (columna G) menos el presupuesto actual (columna C).
Los sobrecostes o el ahorro calculado en la columna H los podremos explicar en las columnas I, J, K y L (aquí podremos añadir o borrar columnas si lo deseamos). Esto nos ayudará a justificar claramente las desviaciones y a conseguir que sean aprobadas por el equipo directivo.
Una vez presentadas las desviaciones y en caso de que hayan sido aprobadas por nuestros jefes podemos proceder a actualizar el presupuesto, tras lo cual el presupuesto actual (columna C) pasará a ser igual al coste total esperado (columna G), y por tanto no tendremos ninguna desviación con respecto a nuestros costes calculados. Este será el nuevo punto de partida para la siguiente revisión.</x:t>
  </x:si>
</x:sst>
</file>

<file path=xl/styles.xml><?xml version="1.0" encoding="utf-8"?>
<x:styleSheet xmlns:x="http://schemas.openxmlformats.org/spreadsheetml/2006/main">
  <x:numFmts count="4">
    <x:numFmt numFmtId="164" formatCode="_-* #,##0.00\ &quot;€&quot;_-;\-* #,##0.00\ &quot;€&quot;_-;_-* &quot;-&quot;??\ &quot;€&quot;_-;_-@_-"/>
    <x:numFmt numFmtId="165" formatCode="_-* #,##0.00\ _€_-;\-* #,##0.00\ _€_-;_-* &quot;-&quot;??\ _€_-;_-@_-"/>
    <x:numFmt numFmtId="166" formatCode="_-[$€-2]\ * #,##0_-;\-[$€-2]\ * #,##0_-;_-[$€-2]\ * &quot;-&quot;_-;_-@_-"/>
    <x:numFmt numFmtId="200" formatCode="$#,##0;[Red]($#,##0);-"/>
  </x:numFmts>
  <x:fonts count="47">
    <x:font>
      <x:sz val="10"/>
      <x:name val="Arial"/>
    </x:font>
    <x:font>
      <x:sz val="11"/>
      <x:color theme="1"/>
      <x:name val="Arial"/>
    </x:font>
    <x:font>
      <x:sz val="11"/>
      <x:color theme="1"/>
      <x:name val="Arial"/>
    </x:font>
    <x:font>
      <x:sz val="11"/>
      <x:color theme="1"/>
      <x:name val="Arial"/>
    </x:font>
    <x:font>
      <x:sz val="11"/>
      <x:color theme="1"/>
      <x:name val="Arial"/>
    </x:font>
    <x:font>
      <x:sz val="11"/>
      <x:color theme="1"/>
      <x:name val="Arial"/>
    </x:font>
    <x:font>
      <x:sz val="11"/>
      <x:color theme="1"/>
      <x:name val="Arial"/>
    </x:font>
    <x:font>
      <x:sz val="11"/>
      <x:color theme="1"/>
      <x:name val="Arial"/>
    </x:font>
    <x:font>
      <x:sz val="11"/>
      <x:color theme="1"/>
      <x:name val="Arial"/>
    </x:font>
    <x:font>
      <x:sz val="11"/>
      <x:color theme="1"/>
      <x:name val="Arial"/>
    </x:font>
    <x:font>
      <x:sz val="10"/>
      <x:name val="Arial"/>
    </x:font>
    <x:font>
      <x:sz val="8"/>
      <x:name val="Arial"/>
    </x:font>
    <x:font>
      <x:b/>
      <x:sz val="10"/>
      <x:name val="Arial"/>
    </x:font>
    <x:font>
      <x:sz val="11"/>
      <x:color rgb="FF9C0006"/>
      <x:name val="Arial"/>
    </x:font>
    <x:font>
      <x:b/>
      <x:sz val="11"/>
      <x:color theme="0"/>
      <x:name val="Arial"/>
    </x:font>
    <x:font>
      <x:sz val="11"/>
      <x:color rgb="FFFF0000"/>
      <x:name val="Arial"/>
    </x:font>
    <x:font>
      <x:b/>
      <x:sz val="11"/>
      <x:color theme="1"/>
      <x:name val="Arial"/>
    </x:font>
    <x:font>
      <x:sz val="11"/>
      <x:name val="Arial"/>
    </x:font>
    <x:font>
      <x:b/>
      <x:sz val="9"/>
      <x:name val="Arial"/>
    </x:font>
    <x:font>
      <x:sz val="12"/>
      <x:name val="Courier"/>
    </x:font>
    <x:font>
      <x:sz val="12"/>
      <x:color rgb="FFFFFF00"/>
      <x:name val="Arial"/>
    </x:font>
    <x:font>
      <x:sz val="18"/>
      <x:color theme="3"/>
      <x:name val="Cambria"/>
    </x:font>
    <x:font>
      <x:b/>
      <x:sz val="15"/>
      <x:color theme="3"/>
      <x:name val="Arial"/>
    </x:font>
    <x:font>
      <x:b/>
      <x:sz val="13"/>
      <x:color theme="3"/>
      <x:name val="Arial"/>
    </x:font>
    <x:font>
      <x:b/>
      <x:sz val="11"/>
      <x:color theme="3"/>
      <x:name val="Arial"/>
    </x:font>
    <x:font>
      <x:sz val="11"/>
      <x:color rgb="FF006100"/>
      <x:name val="Arial"/>
    </x:font>
    <x:font>
      <x:sz val="11"/>
      <x:color rgb="FF9C5700"/>
      <x:name val="Arial"/>
    </x:font>
    <x:font>
      <x:sz val="11"/>
      <x:color rgb="FF3F3F76"/>
      <x:name val="Arial"/>
    </x:font>
    <x:font>
      <x:b/>
      <x:sz val="11"/>
      <x:color rgb="FF3F3F3F"/>
      <x:name val="Arial"/>
    </x:font>
    <x:font>
      <x:b/>
      <x:sz val="11"/>
      <x:color rgb="FFFA7D00"/>
      <x:name val="Arial"/>
    </x:font>
    <x:font>
      <x:sz val="11"/>
      <x:color rgb="FFFA7D00"/>
      <x:name val="Arial"/>
    </x:font>
    <x:font>
      <x:i/>
      <x:sz val="11"/>
      <x:color rgb="FF7F7F7F"/>
      <x:name val="Arial"/>
    </x:font>
    <x:font>
      <x:sz val="11"/>
      <x:color theme="0"/>
      <x:name val="Arial"/>
    </x:font>
    <x:font>
      <x:sz val="10"/>
      <x:name val="Helv"/>
    </x:font>
    <x:font>
      <x:sz val="11"/>
      <x:color theme="1"/>
      <x:name val="Arial"/>
    </x:font>
    <x:font>
      <x:sz val="11"/>
      <x:color indexed="8"/>
      <x:name val="Calibri"/>
    </x:font>
    <x:font>
      <x:sz val="9"/>
      <x:color indexed="12"/>
      <x:name val="Helv"/>
    </x:font>
    <x:font>
      <x:sz val="11"/>
      <x:color theme="1"/>
      <x:name val="Calibri"/>
    </x:font>
    <x:font>
      <x:sz val="10"/>
      <x:name val="Geneva"/>
    </x:font>
    <x:font>
      <x:b/>
      <x:sz val="11"/>
      <x:name val="Arial"/>
    </x:font>
    <x:font>
      <x:sz val="10"/>
      <x:color theme="0" tint="-0.34999"/>
      <x:name val="Arial"/>
    </x:font>
    <x:font>
      <x:sz val="11"/>
      <x:color theme="0" tint="-0.34999"/>
      <x:name val="Arial"/>
    </x:font>
    <x:font>
      <x:b/>
      <x:sz val="8"/>
      <x:name val="Arial"/>
    </x:font>
    <x:font>
      <x:b/>
      <x:sz val="16"/>
      <x:color theme="0" tint="-0.34999"/>
      <x:name val="Arial"/>
    </x:font>
    <x:font>
      <x:b/>
      <x:sz val="11"/>
      <x:color theme="0" tint="-0.34999"/>
      <x:name val="Arial"/>
    </x:font>
    <x:font>
      <x:b/>
      <x:sz val="14"/>
      <x:color rgb="FFFFFFFF"/>
      <x:name val="Arial"/>
    </x:font>
    <x:font>
      <x:b/>
      <x:sz val="10"/>
      <x:color rgb="FFFFFFFF"/>
      <x:name val="Arial"/>
    </x:font>
  </x:fonts>
  <x:fills count="39">
    <x:fill>
      <x:patternFill patternType="none"/>
    </x:fill>
    <x:fill>
      <x:patternFill patternType="gray125"/>
    </x:fill>
    <x:fill>
      <x:patternFill patternType="solid">
        <x:fgColor indexed="9"/>
      </x:patternFill>
    </x:fill>
    <x:fill>
      <x:patternFill patternType="solid">
        <x:fgColor rgb="FFFFC7CE"/>
      </x:patternFill>
    </x:fill>
    <x:fill>
      <x:patternFill patternType="solid">
        <x:fgColor theme="0" tint="-0.24998"/>
      </x:patternFill>
    </x:fill>
    <x:fill>
      <x:patternFill patternType="solid">
        <x:fgColor theme="2" tint="-0.09998"/>
      </x:patternFill>
    </x:fill>
    <x:fill>
      <x:patternFill patternType="solid">
        <x:fgColor rgb="FFFFFF99"/>
      </x:patternFill>
    </x:fill>
    <x:fill>
      <x:patternFill patternType="lightTrellis"/>
    </x:fill>
    <x:fill>
      <x:patternFill patternType="solid">
        <x:fgColor rgb="FFC6EFCE"/>
      </x:patternFill>
    </x:fill>
    <x:fill>
      <x:patternFill patternType="solid">
        <x:fgColor rgb="FFFFEB9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FFFFC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s>
  <x:borders count="54">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medium">
        <x:color indexed="64"/>
      </x:top>
      <x:bottom style="thin">
        <x:color indexed="64"/>
      </x:bottom>
    </x:border>
    <x:border>
      <x:left style="thin">
        <x:color indexed="64"/>
      </x:left>
      <x:right style="medium">
        <x:color indexed="64"/>
      </x:right>
      <x:top style="medium">
        <x:color indexed="64"/>
      </x:top>
      <x:bottom style="thin">
        <x:color indexed="64"/>
      </x:bottom>
    </x:border>
    <x:border>
      <x:left style="thin">
        <x:color indexed="64"/>
      </x:left>
      <x:right style="medium">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right style="thin">
        <x:color indexed="64"/>
      </x:right>
      <x:top style="medium">
        <x:color indexed="64"/>
      </x:top>
      <x:bottom style="thin">
        <x:color indexed="64"/>
      </x:bottom>
    </x:border>
    <x:border>
      <x:left style="medium">
        <x:color indexed="64"/>
      </x:left>
      <x:right style="thin">
        <x:color indexed="64"/>
      </x:right>
      <x:top style="thin">
        <x:color indexed="64"/>
      </x:top>
      <x:bottom style="thin">
        <x:color indexed="64"/>
      </x:bottom>
    </x:border>
    <x:border>
      <x:left style="thin">
        <x:color indexed="64"/>
      </x:left>
      <x:top style="medium">
        <x:color indexed="64"/>
      </x:top>
      <x:bottom style="thin">
        <x:color indexed="64"/>
      </x:bottom>
    </x:border>
    <x:border>
      <x:left style="medium">
        <x:color indexed="64"/>
      </x:left>
      <x:right style="thin">
        <x:color indexed="64"/>
      </x:right>
      <x:top style="medium">
        <x:color indexed="64"/>
      </x:top>
      <x:bottom style="thin">
        <x:color indexed="64"/>
      </x:bottom>
    </x:border>
    <x:border>
      <x:left style="medium">
        <x:color indexed="64"/>
      </x:left>
      <x:right style="medium">
        <x:color indexed="64"/>
      </x:right>
      <x:top style="thin">
        <x:color indexed="64"/>
      </x:top>
      <x:bottom style="thin">
        <x:color indexed="64"/>
      </x:bottom>
    </x:border>
    <x:border>
      <x:left style="medium">
        <x:color indexed="64"/>
      </x:left>
      <x:top style="medium">
        <x:color indexed="64"/>
      </x:top>
      <x:bottom style="medium">
        <x:color indexed="64"/>
      </x:bottom>
    </x:border>
    <x:border>
      <x:top style="medium">
        <x:color indexed="64"/>
      </x:top>
      <x:bottom style="medium">
        <x:color indexed="64"/>
      </x:bottom>
    </x:border>
    <x:border>
      <x:right style="medium">
        <x:color indexed="64"/>
      </x:right>
      <x:top style="medium">
        <x:color indexed="64"/>
      </x:top>
      <x:bottom style="medium">
        <x:color indexed="64"/>
      </x:bottom>
    </x:border>
    <x:border>
      <x:left style="medium">
        <x:color indexed="64"/>
      </x:left>
      <x:right style="medium">
        <x:color indexed="64"/>
      </x:right>
      <x:top style="medium">
        <x:color indexed="64"/>
      </x:top>
      <x:bottom style="thin">
        <x:color indexed="64"/>
      </x:bottom>
    </x:border>
    <x:border>
      <x:right style="thin">
        <x:color indexed="64"/>
      </x:right>
    </x:border>
    <x:border>
      <x:bottom style="thick">
        <x:color theme="4"/>
      </x:bottom>
    </x:border>
    <x:border>
      <x:bottom style="thick">
        <x:color theme="4" tint="0.49998"/>
      </x:bottom>
    </x:border>
    <x:border>
      <x:bottom style="medium">
        <x:color theme="4" tint="0.3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bottom style="double">
        <x:color rgb="FFFF8001"/>
      </x:bottom>
    </x:border>
    <x:border>
      <x:left style="double">
        <x:color rgb="FF3F3F3F"/>
      </x:left>
      <x:right style="double">
        <x:color rgb="FF3F3F3F"/>
      </x:right>
      <x:top style="double">
        <x:color rgb="FF3F3F3F"/>
      </x:top>
      <x:bottom style="double">
        <x:color rgb="FF3F3F3F"/>
      </x:bottom>
    </x:border>
    <x:border>
      <x:left style="thin">
        <x:color rgb="FFB2B2B2"/>
      </x:left>
      <x:right style="thin">
        <x:color rgb="FFB2B2B2"/>
      </x:right>
      <x:top style="thin">
        <x:color rgb="FFB2B2B2"/>
      </x:top>
      <x:bottom style="thin">
        <x:color rgb="FFB2B2B2"/>
      </x:bottom>
    </x:border>
    <x:border>
      <x:top style="thin">
        <x:color theme="4"/>
      </x:top>
      <x:bottom style="double">
        <x:color theme="4"/>
      </x:bottom>
    </x:border>
    <x:border>
      <x:left style="medium">
        <x:color indexed="64"/>
      </x:left>
      <x:right style="thin">
        <x:color indexed="64"/>
      </x:right>
      <x:top style="thin">
        <x:color indexed="64"/>
      </x:top>
      <x:bottom style="medium">
        <x:color indexed="64"/>
      </x:bottom>
    </x:border>
    <x:border>
      <x:left style="thin">
        <x:color indexed="64"/>
      </x:left>
      <x:top style="thin">
        <x:color indexed="64"/>
      </x:top>
      <x:bottom style="medium">
        <x:color indexed="64"/>
      </x:bottom>
    </x:border>
    <x:border>
      <x:left style="medium">
        <x:color indexed="64"/>
      </x:left>
      <x:right style="medium">
        <x:color indexed="64"/>
      </x:right>
      <x:top style="thin">
        <x:color indexed="64"/>
      </x:top>
      <x:bottom style="medium">
        <x:color indexed="64"/>
      </x:bottom>
    </x:border>
    <x:border>
      <x:left style="thin">
        <x:color indexed="64"/>
      </x:left>
      <x:right style="thin">
        <x:color indexed="64"/>
      </x:right>
      <x:top style="thin">
        <x:color indexed="64"/>
      </x:top>
      <x:bottom style="medium">
        <x:color indexed="64"/>
      </x:bottom>
    </x:border>
    <x:border>
      <x:right style="thin">
        <x:color indexed="64"/>
      </x:right>
      <x:top style="thin">
        <x:color indexed="64"/>
      </x:top>
      <x:bottom style="medium">
        <x:color indexed="64"/>
      </x:bottom>
    </x:border>
    <x:border>
      <x:left style="thin">
        <x:color indexed="64"/>
      </x:left>
      <x:right style="medium">
        <x:color indexed="64"/>
      </x:right>
      <x:top style="thin">
        <x:color indexed="64"/>
      </x:top>
      <x:bottom style="medium">
        <x:color indexed="64"/>
      </x:bottom>
    </x:border>
    <x:border/>
    <x:border>
      <x:left style="thin">
        <x:color indexed="64"/>
      </x:left>
      <x:right style="thin">
        <x:color indexed="64"/>
      </x:right>
      <x:top style="thin">
        <x:color indexed="64"/>
      </x:top>
      <x:bottom style="thin">
        <x:color indexed="64"/>
      </x:bottom>
    </x:border>
    <x:border>
      <x:left style="thin">
        <x:color indexed="64"/>
      </x:left>
      <x:right style="medium">
        <x:color indexed="64"/>
      </x:right>
      <x:top style="thin">
        <x:color indexed="64"/>
      </x:top>
      <x:bottom style="thin">
        <x:color indexed="64"/>
      </x:bottom>
    </x:border>
    <x:border>
      <x:right style="thin">
        <x:color indexed="64"/>
      </x:right>
      <x:top style="thin">
        <x:color indexed="64"/>
      </x:top>
      <x:bottom style="thin">
        <x:color indexed="64"/>
      </x:bottom>
    </x:border>
    <x:border>
      <x:left style="thin">
        <x:color indexed="64"/>
      </x:left>
      <x:right style="thin">
        <x:color indexed="64"/>
      </x:right>
      <x:top style="medium">
        <x:color indexed="64"/>
      </x:top>
      <x:bottom style="thin">
        <x:color indexed="64"/>
      </x:bottom>
    </x:border>
    <x:border>
      <x:left style="thin">
        <x:color indexed="64"/>
      </x:left>
      <x:right style="medium">
        <x:color indexed="64"/>
      </x:right>
      <x:top style="medium">
        <x:color indexed="64"/>
      </x:top>
      <x:bottom style="thin">
        <x:color indexed="64"/>
      </x:bottom>
    </x:border>
    <x:border>
      <x:right style="thin">
        <x:color indexed="64"/>
      </x:right>
      <x:top style="medium">
        <x:color indexed="64"/>
      </x:top>
      <x:bottom style="thin">
        <x:color indexed="64"/>
      </x:bottom>
    </x:border>
    <x:border>
      <x:left style="medium">
        <x:color indexed="64"/>
      </x:left>
      <x:right style="medium">
        <x:color indexed="64"/>
      </x:right>
      <x:top style="thin">
        <x:color indexed="64"/>
      </x:top>
      <x:bottom style="thin">
        <x:color indexed="64"/>
      </x:bottom>
    </x:border>
    <x:border>
      <x:left style="medium">
        <x:color indexed="64"/>
      </x:left>
      <x:right style="thin">
        <x:color indexed="64"/>
      </x:right>
      <x:top style="medium">
        <x:color indexed="64"/>
      </x:top>
      <x:bottom style="thin">
        <x:color indexed="64"/>
      </x:bottom>
    </x:border>
    <x:border>
      <x:left style="medium">
        <x:color indexed="64"/>
      </x:left>
      <x:right style="thin">
        <x:color indexed="64"/>
      </x:right>
      <x:top style="thin">
        <x:color indexed="64"/>
      </x:top>
      <x:bottom style="thin">
        <x:color indexed="64"/>
      </x:bottom>
    </x:border>
    <x:border>
      <x:left style="thin">
        <x:color indexed="64"/>
      </x:left>
      <x:top style="medium">
        <x:color indexed="64"/>
      </x:top>
      <x:bottom style="thin">
        <x:color indexed="64"/>
      </x:bottom>
    </x:border>
    <x:border>
      <x:left style="thin">
        <x:color indexed="64"/>
      </x:left>
      <x:top style="thin">
        <x:color indexed="64"/>
      </x:top>
      <x:bottom style="thin">
        <x:color indexed="64"/>
      </x:bottom>
    </x:border>
    <x:border>
      <x:left style="medium">
        <x:color indexed="64"/>
      </x:left>
      <x:right style="medium">
        <x:color indexed="64"/>
      </x:right>
      <x:top style="medium">
        <x:color indexed="64"/>
      </x:top>
      <x:bottom style="thin">
        <x:color indexed="64"/>
      </x:bottom>
    </x:border>
    <x:border>
      <x:left style="medium">
        <x:color indexed="64"/>
      </x:left>
      <x:right style="thin">
        <x:color indexed="64"/>
      </x:right>
      <x:top style="thin">
        <x:color indexed="64"/>
      </x:top>
      <x:bottom style="medium">
        <x:color indexed="64"/>
      </x:bottom>
    </x:border>
    <x:border>
      <x:left style="thin">
        <x:color indexed="64"/>
      </x:left>
      <x:top style="thin">
        <x:color indexed="64"/>
      </x:top>
      <x:bottom style="medium">
        <x:color indexed="64"/>
      </x:bottom>
    </x:border>
    <x:border>
      <x:left style="medium">
        <x:color indexed="64"/>
      </x:left>
      <x:right style="medium">
        <x:color indexed="64"/>
      </x:right>
      <x:top style="thin">
        <x:color indexed="64"/>
      </x:top>
      <x:bottom style="medium">
        <x:color indexed="64"/>
      </x:bottom>
    </x:border>
    <x:border>
      <x:left style="thin">
        <x:color indexed="64"/>
      </x:left>
      <x:right style="thin">
        <x:color indexed="64"/>
      </x:right>
      <x:top style="thin">
        <x:color indexed="64"/>
      </x:top>
      <x:bottom style="medium">
        <x:color indexed="64"/>
      </x:bottom>
    </x:border>
    <x:border>
      <x:right style="thin">
        <x:color indexed="64"/>
      </x:right>
      <x:top style="thin">
        <x:color indexed="64"/>
      </x:top>
      <x:bottom style="medium">
        <x:color indexed="64"/>
      </x:bottom>
    </x:border>
    <x:border>
      <x:left style="thin">
        <x:color indexed="64"/>
      </x:left>
      <x:right style="medium">
        <x:color indexed="64"/>
      </x:right>
      <x:top style="thin">
        <x:color indexed="64"/>
      </x:top>
      <x:bottom style="medium">
        <x:color indexed="64"/>
      </x:bottom>
    </x:border>
    <x:border>
      <x:left style="medium">
        <x:color indexed="64"/>
      </x:left>
      <x:top style="medium">
        <x:color indexed="64"/>
      </x:top>
      <x:bottom style="medium">
        <x:color indexed="64"/>
      </x:bottom>
    </x:border>
    <x:border>
      <x:top style="medium">
        <x:color indexed="64"/>
      </x:top>
      <x:bottom style="medium">
        <x:color indexed="64"/>
      </x:bottom>
    </x:border>
    <x:border>
      <x:right style="medium">
        <x:color indexed="64"/>
      </x:right>
      <x:top style="medium">
        <x:color indexed="64"/>
      </x:top>
      <x:bottom style="medium">
        <x:color indexed="64"/>
      </x:bottom>
    </x:border>
  </x:borders>
  <x:cellStyleXfs count="95">
    <x:xf numFmtId="0" fontId="0" fillId="0" borderId="0"/>
    <x:xf numFmtId="0" fontId="10" fillId="0" borderId="0"/>
    <x:xf numFmtId="0" fontId="13" fillId="3" borderId="0" applyNumberFormat="0" applyBorder="0" applyAlignment="0" applyProtection="0"/>
    <x:xf numFmtId="0" fontId="9" fillId="0" borderId="0"/>
    <x:xf numFmtId="0" fontId="8" fillId="0" borderId="0"/>
    <x:xf numFmtId="0" fontId="7" fillId="0" borderId="0"/>
    <x:xf numFmtId="0" fontId="6" fillId="0" borderId="0"/>
    <x:xf numFmtId="0" fontId="5" fillId="0" borderId="0"/>
    <x:xf numFmtId="0" fontId="19" fillId="0" borderId="16"/>
    <x:xf numFmtId="0" fontId="10" fillId="2" borderId="0"/>
    <x:xf numFmtId="0" fontId="4" fillId="0" borderId="0"/>
    <x:xf numFmtId="0" fontId="21" fillId="0" borderId="0" applyNumberFormat="0" applyFill="0" applyBorder="0" applyAlignment="0" applyProtection="0"/>
    <x:xf numFmtId="0" fontId="22" fillId="0" borderId="17" applyNumberFormat="0" applyFill="0" applyAlignment="0" applyProtection="0"/>
    <x:xf numFmtId="0" fontId="23" fillId="0" borderId="18" applyNumberFormat="0" applyFill="0" applyAlignment="0" applyProtection="0"/>
    <x:xf numFmtId="0" fontId="24" fillId="0" borderId="19" applyNumberFormat="0" applyFill="0" applyAlignment="0" applyProtection="0"/>
    <x:xf numFmtId="0" fontId="24" fillId="0" borderId="0" applyNumberFormat="0" applyFill="0" applyBorder="0" applyAlignment="0" applyProtection="0"/>
    <x:xf numFmtId="0" fontId="25" fillId="8" borderId="0" applyNumberFormat="0" applyBorder="0" applyAlignment="0" applyProtection="0"/>
    <x:xf numFmtId="0" fontId="13" fillId="3" borderId="0" applyNumberFormat="0" applyBorder="0" applyAlignment="0" applyProtection="0"/>
    <x:xf numFmtId="0" fontId="26" fillId="9" borderId="0" applyNumberFormat="0" applyBorder="0" applyAlignment="0" applyProtection="0"/>
    <x:xf numFmtId="0" fontId="27" fillId="10" borderId="20" applyNumberFormat="0" applyAlignment="0" applyProtection="0"/>
    <x:xf numFmtId="0" fontId="28" fillId="11" borderId="21" applyNumberFormat="0" applyAlignment="0" applyProtection="0"/>
    <x:xf numFmtId="0" fontId="29" fillId="11" borderId="20" applyNumberFormat="0" applyAlignment="0" applyProtection="0"/>
    <x:xf numFmtId="0" fontId="30" fillId="0" borderId="22" applyNumberFormat="0" applyFill="0" applyAlignment="0" applyProtection="0"/>
    <x:xf numFmtId="0" fontId="14" fillId="12" borderId="23" applyNumberFormat="0" applyAlignment="0" applyProtection="0"/>
    <x:xf numFmtId="0" fontId="15" fillId="0" borderId="0" applyNumberFormat="0" applyFill="0" applyBorder="0" applyAlignment="0" applyProtection="0"/>
    <x:xf numFmtId="0" fontId="31" fillId="0" borderId="0" applyNumberFormat="0" applyFill="0" applyBorder="0" applyAlignment="0" applyProtection="0"/>
    <x:xf numFmtId="0" fontId="16" fillId="0" borderId="25" applyNumberFormat="0" applyFill="0" applyAlignment="0" applyProtection="0"/>
    <x:xf numFmtId="0" fontId="32" fillId="14" borderId="0" applyNumberFormat="0" applyBorder="0" applyAlignment="0" applyProtection="0"/>
    <x:xf numFmtId="0" fontId="3" fillId="15" borderId="0" applyNumberFormat="0" applyBorder="0" applyAlignment="0" applyProtection="0"/>
    <x:xf numFmtId="0" fontId="3" fillId="16" borderId="0" applyNumberFormat="0" applyBorder="0" applyAlignment="0" applyProtection="0"/>
    <x:xf numFmtId="0" fontId="3" fillId="17" borderId="0" applyNumberFormat="0" applyBorder="0" applyAlignment="0" applyProtection="0"/>
    <x:xf numFmtId="0" fontId="32" fillId="18" borderId="0" applyNumberFormat="0" applyBorder="0" applyAlignment="0" applyProtection="0"/>
    <x:xf numFmtId="0" fontId="3" fillId="19" borderId="0" applyNumberFormat="0" applyBorder="0" applyAlignment="0" applyProtection="0"/>
    <x:xf numFmtId="0" fontId="3" fillId="20" borderId="0" applyNumberFormat="0" applyBorder="0" applyAlignment="0" applyProtection="0"/>
    <x:xf numFmtId="0" fontId="3" fillId="21" borderId="0" applyNumberFormat="0" applyBorder="0" applyAlignment="0" applyProtection="0"/>
    <x:xf numFmtId="0" fontId="32" fillId="22" borderId="0" applyNumberFormat="0" applyBorder="0" applyAlignment="0" applyProtection="0"/>
    <x:xf numFmtId="0" fontId="3" fillId="23" borderId="0" applyNumberFormat="0" applyBorder="0" applyAlignment="0" applyProtection="0"/>
    <x:xf numFmtId="0" fontId="3" fillId="24" borderId="0" applyNumberFormat="0" applyBorder="0" applyAlignment="0" applyProtection="0"/>
    <x:xf numFmtId="0" fontId="3" fillId="25" borderId="0" applyNumberFormat="0" applyBorder="0" applyAlignment="0" applyProtection="0"/>
    <x:xf numFmtId="0" fontId="32" fillId="26" borderId="0" applyNumberFormat="0" applyBorder="0" applyAlignment="0" applyProtection="0"/>
    <x:xf numFmtId="0" fontId="3" fillId="27" borderId="0" applyNumberFormat="0" applyBorder="0" applyAlignment="0" applyProtection="0"/>
    <x:xf numFmtId="0" fontId="3" fillId="28" borderId="0" applyNumberFormat="0" applyBorder="0" applyAlignment="0" applyProtection="0"/>
    <x:xf numFmtId="0" fontId="3" fillId="29" borderId="0" applyNumberFormat="0" applyBorder="0" applyAlignment="0" applyProtection="0"/>
    <x:xf numFmtId="0" fontId="32" fillId="30" borderId="0" applyNumberFormat="0" applyBorder="0" applyAlignment="0" applyProtection="0"/>
    <x:xf numFmtId="0" fontId="3" fillId="31" borderId="0" applyNumberFormat="0" applyBorder="0" applyAlignment="0" applyProtection="0"/>
    <x:xf numFmtId="0" fontId="3" fillId="32" borderId="0" applyNumberFormat="0" applyBorder="0" applyAlignment="0" applyProtection="0"/>
    <x:xf numFmtId="0" fontId="3" fillId="33" borderId="0" applyNumberFormat="0" applyBorder="0" applyAlignment="0" applyProtection="0"/>
    <x:xf numFmtId="0" fontId="32" fillId="34" borderId="0" applyNumberFormat="0" applyBorder="0" applyAlignment="0" applyProtection="0"/>
    <x:xf numFmtId="0" fontId="3" fillId="35" borderId="0" applyNumberFormat="0" applyBorder="0" applyAlignment="0" applyProtection="0"/>
    <x:xf numFmtId="0" fontId="3" fillId="36" borderId="0" applyNumberFormat="0" applyBorder="0" applyAlignment="0" applyProtection="0"/>
    <x:xf numFmtId="0" fontId="3" fillId="37" borderId="0" applyNumberFormat="0" applyBorder="0" applyAlignment="0" applyProtection="0"/>
    <x:xf numFmtId="0" fontId="3" fillId="0" borderId="0"/>
    <x:xf numFmtId="0" fontId="3" fillId="13" borderId="24" applyNumberFormat="0" applyFont="0" applyAlignment="0" applyProtection="0"/>
    <x:xf numFmtId="0" fontId="2" fillId="0" borderId="0"/>
    <x:xf numFmtId="0" fontId="2" fillId="13" borderId="24" applyNumberFormat="0" applyFont="0" applyAlignment="0" applyProtection="0"/>
    <x:xf numFmtId="0" fontId="2" fillId="15" borderId="0" applyNumberFormat="0" applyBorder="0" applyAlignment="0" applyProtection="0"/>
    <x:xf numFmtId="0" fontId="2" fillId="16" borderId="0" applyNumberFormat="0" applyBorder="0" applyAlignment="0" applyProtection="0"/>
    <x:xf numFmtId="0" fontId="2" fillId="17" borderId="0" applyNumberFormat="0" applyBorder="0" applyAlignment="0" applyProtection="0"/>
    <x:xf numFmtId="0" fontId="2" fillId="19" borderId="0" applyNumberFormat="0" applyBorder="0" applyAlignment="0" applyProtection="0"/>
    <x:xf numFmtId="0" fontId="2" fillId="20" borderId="0" applyNumberFormat="0" applyBorder="0" applyAlignment="0" applyProtection="0"/>
    <x:xf numFmtId="0" fontId="2" fillId="21" borderId="0" applyNumberFormat="0" applyBorder="0" applyAlignment="0" applyProtection="0"/>
    <x:xf numFmtId="0" fontId="2" fillId="23" borderId="0" applyNumberFormat="0" applyBorder="0" applyAlignment="0" applyProtection="0"/>
    <x:xf numFmtId="0" fontId="2" fillId="24" borderId="0" applyNumberFormat="0" applyBorder="0" applyAlignment="0" applyProtection="0"/>
    <x:xf numFmtId="0" fontId="2" fillId="25" borderId="0" applyNumberFormat="0" applyBorder="0" applyAlignment="0" applyProtection="0"/>
    <x:xf numFmtId="0" fontId="2" fillId="27" borderId="0" applyNumberFormat="0" applyBorder="0" applyAlignment="0" applyProtection="0"/>
    <x:xf numFmtId="0" fontId="2" fillId="28" borderId="0" applyNumberFormat="0" applyBorder="0" applyAlignment="0" applyProtection="0"/>
    <x:xf numFmtId="0" fontId="2" fillId="29" borderId="0" applyNumberFormat="0" applyBorder="0" applyAlignment="0" applyProtection="0"/>
    <x:xf numFmtId="0" fontId="2" fillId="31" borderId="0" applyNumberFormat="0" applyBorder="0" applyAlignment="0" applyProtection="0"/>
    <x:xf numFmtId="0" fontId="2" fillId="32" borderId="0" applyNumberFormat="0" applyBorder="0" applyAlignment="0" applyProtection="0"/>
    <x:xf numFmtId="0" fontId="2" fillId="33" borderId="0" applyNumberFormat="0" applyBorder="0" applyAlignment="0" applyProtection="0"/>
    <x:xf numFmtId="0" fontId="2" fillId="35" borderId="0" applyNumberFormat="0" applyBorder="0" applyAlignment="0" applyProtection="0"/>
    <x:xf numFmtId="0" fontId="2" fillId="36" borderId="0" applyNumberFormat="0" applyBorder="0" applyAlignment="0" applyProtection="0"/>
    <x:xf numFmtId="0" fontId="2" fillId="37" borderId="0" applyNumberFormat="0" applyBorder="0" applyAlignment="0" applyProtection="0"/>
    <x:xf numFmtId="0" fontId="1" fillId="0" borderId="0"/>
    <x:xf numFmtId="165" fontId="1" fillId="0" borderId="0" applyFont="0" applyFill="0" applyBorder="0" applyAlignment="0" applyProtection="0"/>
    <x:xf numFmtId="9" fontId="1" fillId="0" borderId="0" applyFont="0" applyFill="0" applyBorder="0" applyAlignment="0" applyProtection="0"/>
    <x:xf numFmtId="0" fontId="36" fillId="0" borderId="0" applyNumberFormat="0" applyFill="0" applyBorder="0" applyAlignment="0" applyProtection="0">
      <x:alignment vertical="top"/>
      <x:protection locked="0"/>
    </x:xf>
    <x:xf numFmtId="0" fontId="33" fillId="0" borderId="0"/>
    <x:xf numFmtId="165" fontId="35" fillId="0" borderId="0" applyFont="0" applyFill="0" applyBorder="0" applyAlignment="0" applyProtection="0"/>
    <x:xf numFmtId="0" fontId="37" fillId="0" borderId="0"/>
    <x:xf numFmtId="9" fontId="33" fillId="0" borderId="0" applyFont="0" applyFill="0" applyBorder="0" applyAlignment="0" applyProtection="0"/>
    <x:xf numFmtId="9" fontId="35" fillId="0" borderId="0" applyFont="0" applyFill="0" applyBorder="0" applyAlignment="0" applyProtection="0"/>
    <x:xf numFmtId="0" fontId="34" fillId="0" borderId="0"/>
    <x:xf numFmtId="165" fontId="33" fillId="0" borderId="0" applyFont="0" applyFill="0" applyBorder="0" applyAlignment="0" applyProtection="0"/>
    <x:xf numFmtId="0" fontId="1" fillId="0" borderId="0"/>
    <x:xf numFmtId="0" fontId="11" fillId="0" borderId="0"/>
    <x:xf numFmtId="0" fontId="10" fillId="0" borderId="0"/>
    <x:xf numFmtId="0" fontId="10" fillId="0" borderId="0"/>
    <x:xf numFmtId="164" fontId="33" fillId="0" borderId="0" applyFont="0" applyFill="0" applyBorder="0" applyAlignment="0" applyProtection="0"/>
    <x:xf numFmtId="0" fontId="1" fillId="0" borderId="0"/>
    <x:xf numFmtId="0" fontId="38" fillId="0" borderId="0"/>
    <x:xf numFmtId="165" fontId="33" fillId="0" borderId="0" applyFont="0" applyFill="0" applyBorder="0" applyAlignment="0" applyProtection="0"/>
    <x:xf numFmtId="164" fontId="33" fillId="0" borderId="0" applyFont="0" applyFill="0" applyBorder="0" applyAlignment="0" applyProtection="0"/>
    <x:xf numFmtId="0" fontId="33" fillId="0" borderId="0"/>
    <x:xf numFmtId="9" fontId="33" fillId="0" borderId="0" applyFont="0" applyFill="0" applyBorder="0" applyAlignment="0" applyProtection="0"/>
  </x:cellStyleXfs>
  <x:cellXfs count="146">
    <x:xf numFmtId="0" fontId="0" fillId="0" borderId="0" xfId="0"/>
    <x:xf numFmtId="0" fontId="10" fillId="0" borderId="0" xfId="0" applyFont="1"/>
    <x:xf numFmtId="0" fontId="10" fillId="0" borderId="0" xfId="1"/>
    <x:xf numFmtId="0" fontId="10" fillId="0" borderId="0" xfId="1" applyFont="1"/>
    <x:xf numFmtId="0" fontId="12" fillId="0" borderId="0" xfId="1" applyFont="1"/>
    <x:xf numFmtId="0" fontId="10" fillId="6" borderId="1" xfId="1" applyFill="1" applyBorder="1"/>
    <x:xf numFmtId="0" fontId="10" fillId="6" borderId="1" xfId="1" applyFont="1" applyFill="1" applyBorder="1"/>
    <x:xf numFmtId="0" fontId="10" fillId="6" borderId="4" xfId="1" applyFill="1" applyBorder="1"/>
    <x:xf numFmtId="0" fontId="10" fillId="6" borderId="6" xfId="1" applyFill="1" applyBorder="1"/>
    <x:xf numFmtId="0" fontId="10" fillId="6" borderId="2" xfId="0" applyFont="1" applyFill="1" applyBorder="1" applyAlignment="1">
      <x:alignment horizontal="center" vertical="center" wrapText="1"/>
    </x:xf>
    <x:xf numFmtId="0" fontId="10" fillId="6" borderId="3" xfId="0" applyFont="1" applyFill="1" applyBorder="1" applyAlignment="1">
      <x:alignment horizontal="center" vertical="center" wrapText="1"/>
    </x:xf>
    <x:xf numFmtId="0" fontId="10" fillId="6" borderId="7" xfId="0" applyFont="1" applyFill="1" applyBorder="1" applyAlignment="1">
      <x:alignment horizontal="center" vertical="center" wrapText="1"/>
    </x:xf>
    <x:xf numFmtId="3" fontId="17" fillId="7" borderId="1" xfId="1" applyNumberFormat="1" applyFont="1" applyFill="1" applyBorder="1" applyAlignment="1">
      <x:alignment vertical="center"/>
    </x:xf>
    <x:xf numFmtId="3" fontId="39" fillId="0" borderId="11" xfId="1" applyNumberFormat="1" applyFont="1" applyFill="1" applyBorder="1" applyAlignment="1">
      <x:alignment vertical="center"/>
    </x:xf>
    <x:xf numFmtId="0" fontId="20" fillId="6" borderId="10" xfId="1" applyFont="1" applyFill="1" applyBorder="1" applyAlignment="1">
      <x:alignment horizontal="center" vertical="center" wrapText="1"/>
    </x:xf>
    <x:xf numFmtId="0" fontId="10" fillId="6" borderId="8" xfId="1" applyFill="1" applyBorder="1"/>
    <x:xf numFmtId="166" fontId="39" fillId="0" borderId="8" xfId="1" applyNumberFormat="1" applyFont="1" applyBorder="1" applyAlignment="1">
      <x:alignment vertical="center"/>
    </x:xf>
    <x:xf numFmtId="166" fontId="18" fillId="0" borderId="8" xfId="1" applyNumberFormat="1" applyFont="1" applyBorder="1" applyAlignment="1"/>
    <x:xf numFmtId="166" fontId="18" fillId="4" borderId="8" xfId="1" applyNumberFormat="1" applyFont="1" applyFill="1" applyBorder="1" applyAlignment="1"/>
    <x:xf numFmtId="166" fontId="18" fillId="5" borderId="8" xfId="1" applyNumberFormat="1" applyFont="1" applyFill="1" applyBorder="1" applyAlignment="1"/>
    <x:xf numFmtId="0" fontId="10" fillId="6" borderId="9" xfId="1" applyFont="1" applyFill="1" applyBorder="1" applyAlignment="1">
      <x:alignment horizontal="center" vertical="center" wrapText="1"/>
    </x:xf>
    <x:xf numFmtId="0" fontId="10" fillId="6" borderId="5" xfId="1" applyFont="1" applyFill="1" applyBorder="1"/>
    <x:xf numFmtId="3" fontId="10" fillId="4" borderId="5" xfId="1" applyNumberFormat="1" applyFill="1" applyBorder="1"/>
    <x:xf numFmtId="3" fontId="10" fillId="5" borderId="5" xfId="1" applyNumberFormat="1" applyFill="1" applyBorder="1"/>
    <x:xf numFmtId="3" fontId="10" fillId="6" borderId="5" xfId="1" applyNumberFormat="1" applyFont="1" applyFill="1" applyBorder="1"/>
    <x:xf numFmtId="0" fontId="12" fillId="6" borderId="15" xfId="0" applyFont="1" applyFill="1" applyBorder="1" applyAlignment="1">
      <x:alignment horizontal="center" vertical="center" wrapText="1"/>
    </x:xf>
    <x:xf numFmtId="0" fontId="12" fillId="6" borderId="11" xfId="1" applyFont="1" applyFill="1" applyBorder="1"/>
    <x:xf numFmtId="3" fontId="12" fillId="4" borderId="11" xfId="1" applyNumberFormat="1" applyFont="1" applyFill="1" applyBorder="1"/>
    <x:xf numFmtId="3" fontId="12" fillId="5" borderId="11" xfId="1" applyNumberFormat="1" applyFont="1" applyFill="1" applyBorder="1"/>
    <x:xf numFmtId="3" fontId="12" fillId="0" borderId="11" xfId="1" applyNumberFormat="1" applyFont="1" applyBorder="1"/>
    <x:xf numFmtId="0" fontId="12" fillId="6" borderId="15" xfId="1" applyFont="1" applyFill="1" applyBorder="1" applyAlignment="1">
      <x:alignment horizontal="center" vertical="center" wrapText="1"/>
    </x:xf>
    <x:xf numFmtId="3" fontId="41" fillId="7" borderId="1" xfId="1" applyNumberFormat="1" applyFont="1" applyFill="1" applyBorder="1" applyAlignment="1">
      <x:alignment vertical="center"/>
    </x:xf>
    <x:xf numFmtId="3" fontId="40" fillId="4" borderId="1" xfId="1" applyNumberFormat="1" applyFont="1" applyFill="1" applyBorder="1"/>
    <x:xf numFmtId="3" fontId="40" fillId="5" borderId="1" xfId="1" applyNumberFormat="1" applyFont="1" applyFill="1" applyBorder="1"/>
    <x:xf numFmtId="3" fontId="40" fillId="0" borderId="1" xfId="1" applyNumberFormat="1" applyFont="1" applyBorder="1"/>
    <x:xf numFmtId="3" fontId="41" fillId="0" borderId="5" xfId="1" applyNumberFormat="1" applyFont="1" applyBorder="1" applyAlignment="1">
      <x:alignment vertical="center"/>
    </x:xf>
    <x:xf numFmtId="3" fontId="40" fillId="0" borderId="5" xfId="1" applyNumberFormat="1" applyFont="1" applyBorder="1"/>
    <x:xf numFmtId="3" fontId="40" fillId="4" borderId="5" xfId="1" applyNumberFormat="1" applyFont="1" applyFill="1" applyBorder="1"/>
    <x:xf numFmtId="3" fontId="40" fillId="5" borderId="5" xfId="1" applyNumberFormat="1" applyFont="1" applyFill="1" applyBorder="1"/>
    <x:xf numFmtId="3" fontId="41" fillId="0" borderId="1" xfId="1" applyNumberFormat="1" applyFont="1" applyFill="1" applyBorder="1" applyAlignment="1">
      <x:alignment vertical="center"/>
    </x:xf>
    <x:xf numFmtId="0" fontId="40" fillId="0" borderId="6" xfId="1" applyFont="1" applyBorder="1"/>
    <x:xf numFmtId="3" fontId="40" fillId="4" borderId="6" xfId="1" applyNumberFormat="1" applyFont="1" applyFill="1" applyBorder="1"/>
    <x:xf numFmtId="3" fontId="40" fillId="5" borderId="6" xfId="1" applyNumberFormat="1" applyFont="1" applyFill="1" applyBorder="1"/>
    <x:xf numFmtId="3" fontId="40" fillId="0" borderId="6" xfId="1" applyNumberFormat="1" applyFont="1" applyBorder="1"/>
    <x:xf numFmtId="3" fontId="12" fillId="0" borderId="11" xfId="1" applyNumberFormat="1" applyFont="1" applyFill="1" applyBorder="1"/>
    <x:xf numFmtId="0" fontId="10" fillId="6" borderId="9" xfId="0" applyFont="1" applyFill="1" applyBorder="1" applyAlignment="1">
      <x:alignment horizontal="center" vertical="center" wrapText="1"/>
    </x:xf>
    <x:xf numFmtId="0" fontId="10" fillId="6" borderId="5" xfId="1" applyFill="1" applyBorder="1"/>
    <x:xf numFmtId="3" fontId="41" fillId="0" borderId="5" xfId="1" applyNumberFormat="1" applyFont="1" applyFill="1" applyBorder="1" applyAlignment="1">
      <x:alignment vertical="center"/>
    </x:xf>
    <x:xf numFmtId="3" fontId="10" fillId="0" borderId="0" xfId="1" applyNumberFormat="1"/>
    <x:xf numFmtId="3" fontId="10" fillId="5" borderId="5" xfId="1" applyNumberFormat="1" applyFont="1" applyFill="1" applyBorder="1"/>
    <x:xf numFmtId="0" fontId="43" fillId="0" borderId="0" xfId="1" applyFont="1"/>
    <x:xf numFmtId="0" fontId="11" fillId="6" borderId="5" xfId="1" applyFont="1" applyFill="1" applyBorder="1" applyAlignment="1">
      <x:alignment horizontal="center"/>
    </x:xf>
    <x:xf numFmtId="0" fontId="42" fillId="6" borderId="11" xfId="1" applyFont="1" applyFill="1" applyBorder="1" applyAlignment="1">
      <x:alignment horizontal="center" wrapText="1"/>
    </x:xf>
    <x:xf numFmtId="3" fontId="44" fillId="0" borderId="4" xfId="1" applyNumberFormat="1" applyFont="1" applyFill="1" applyBorder="1" applyAlignment="1">
      <x:alignment vertical="center"/>
    </x:xf>
    <x:xf numFmtId="3" fontId="40" fillId="4" borderId="4" xfId="1" applyNumberFormat="1" applyFont="1" applyFill="1" applyBorder="1"/>
    <x:xf numFmtId="3" fontId="40" fillId="5" borderId="4" xfId="1" applyNumberFormat="1" applyFont="1" applyFill="1" applyBorder="1"/>
    <x:xf numFmtId="3" fontId="40" fillId="0" borderId="4" xfId="1" applyNumberFormat="1" applyFont="1" applyBorder="1"/>
    <x:xf numFmtId="166" fontId="18" fillId="0" borderId="26" xfId="1" applyNumberFormat="1" applyFont="1" applyBorder="1" applyAlignment="1"/>
    <x:xf numFmtId="3" fontId="40" fillId="0" borderId="27" xfId="1" applyNumberFormat="1" applyFont="1" applyBorder="1"/>
    <x:xf numFmtId="3" fontId="12" fillId="0" borderId="28" xfId="1" applyNumberFormat="1" applyFont="1" applyBorder="1"/>
    <x:xf numFmtId="3" fontId="40" fillId="0" borderId="29" xfId="1" applyNumberFormat="1" applyFont="1" applyBorder="1"/>
    <x:xf numFmtId="3" fontId="10" fillId="6" borderId="27" xfId="1" applyNumberFormat="1" applyFont="1" applyFill="1" applyBorder="1"/>
    <x:xf numFmtId="3" fontId="40" fillId="0" borderId="30" xfId="1" applyNumberFormat="1" applyFont="1" applyBorder="1"/>
    <x:xf numFmtId="3" fontId="40" fillId="0" borderId="31" xfId="1" applyNumberFormat="1" applyFont="1" applyBorder="1"/>
    <x:xf numFmtId="0" fontId="39" fillId="6" borderId="12" xfId="1" applyFont="1" applyFill="1" applyBorder="1" applyAlignment="1">
      <x:alignment horizontal="center"/>
    </x:xf>
    <x:xf numFmtId="0" fontId="39" fillId="6" borderId="13" xfId="1" applyFont="1" applyFill="1" applyBorder="1" applyAlignment="1">
      <x:alignment horizontal="center"/>
    </x:xf>
    <x:xf numFmtId="0" fontId="39" fillId="6" borderId="14" xfId="1" applyFont="1" applyFill="1" applyBorder="1" applyAlignment="1">
      <x:alignment horizontal="center"/>
    </x:xf>
    <x:xf numFmtId="0" fontId="0" fillId="0" borderId="0" xfId="0" applyAlignment="1">
      <x:alignment horizontal="left" wrapText="1"/>
    </x:xf>
    <x:xf numFmtId="0" fontId="0" fillId="0" borderId="32" xfId="0" applyNumberFormat="1" applyFont="1" applyFill="1" applyBorder="1"/>
    <x:xf numFmtId="0" fontId="12" fillId="0" borderId="32" xfId="0" applyNumberFormat="1" applyFont="1" applyFill="1" applyBorder="1"/>
    <x:xf numFmtId="0" fontId="0" fillId="6" borderId="33" xfId="0" applyNumberFormat="1" applyFont="1" applyFill="1" applyBorder="1"/>
    <x:xf numFmtId="0" fontId="0" fillId="6" borderId="34" xfId="0" applyNumberFormat="1" applyFont="1" applyFill="1" applyBorder="1"/>
    <x:xf numFmtId="0" fontId="0" fillId="6" borderId="35" xfId="0" applyNumberFormat="1" applyFont="1" applyFill="1" applyBorder="1"/>
    <x:xf numFmtId="0" fontId="0" fillId="6" borderId="36" xfId="0" applyNumberFormat="1" applyFont="1" applyFill="1" applyBorder="1" applyAlignment="1">
      <x:alignment horizontal="center" vertical="center" wrapText="1"/>
    </x:xf>
    <x:xf numFmtId="0" fontId="0" fillId="6" borderId="37" xfId="0" applyNumberFormat="1" applyFont="1" applyFill="1" applyBorder="1" applyAlignment="1">
      <x:alignment horizontal="center" vertical="center" wrapText="1"/>
    </x:xf>
    <x:xf numFmtId="0" fontId="0" fillId="6" borderId="38" xfId="0" applyNumberFormat="1" applyFont="1" applyFill="1" applyBorder="1" applyAlignment="1">
      <x:alignment horizontal="center" vertical="center" wrapText="1"/>
    </x:xf>
    <x:xf numFmtId="3" fontId="17" fillId="7" borderId="33" xfId="0" applyNumberFormat="1" applyFont="1" applyFill="1" applyBorder="1" applyAlignment="1">
      <x:alignment vertical="center"/>
    </x:xf>
    <x:xf numFmtId="3" fontId="39" fillId="0" borderId="39" xfId="0" applyNumberFormat="1" applyFont="1" applyFill="1" applyBorder="1" applyAlignment="1">
      <x:alignment vertical="center"/>
    </x:xf>
    <x:xf numFmtId="0" fontId="20" fillId="6" borderId="40" xfId="0" applyNumberFormat="1" applyFont="1" applyFill="1" applyBorder="1" applyAlignment="1">
      <x:alignment horizontal="center" vertical="center" wrapText="1"/>
    </x:xf>
    <x:xf numFmtId="0" fontId="0" fillId="6" borderId="41" xfId="0" applyNumberFormat="1" applyFont="1" applyFill="1" applyBorder="1"/>
    <x:xf numFmtId="166" fontId="39" fillId="0" borderId="41" xfId="0" applyNumberFormat="1" applyFont="1" applyFill="1" applyBorder="1" applyAlignment="1">
      <x:alignment vertical="center"/>
    </x:xf>
    <x:xf numFmtId="166" fontId="18" fillId="0" borderId="41" xfId="0" applyNumberFormat="1" applyFont="1" applyFill="1" applyBorder="1"/>
    <x:xf numFmtId="166" fontId="18" fillId="4" borderId="41" xfId="0" applyNumberFormat="1" applyFont="1" applyFill="1" applyBorder="1"/>
    <x:xf numFmtId="166" fontId="18" fillId="5" borderId="41" xfId="0" applyNumberFormat="1" applyFont="1" applyFill="1" applyBorder="1"/>
    <x:xf numFmtId="0" fontId="0" fillId="6" borderId="42" xfId="0" applyNumberFormat="1" applyFont="1" applyFill="1" applyBorder="1" applyAlignment="1">
      <x:alignment horizontal="center" vertical="center" wrapText="1"/>
    </x:xf>
    <x:xf numFmtId="0" fontId="0" fillId="6" borderId="43" xfId="0" applyNumberFormat="1" applyFont="1" applyFill="1" applyBorder="1"/>
    <x:xf numFmtId="3" fontId="0" fillId="4" borderId="43" xfId="0" applyNumberFormat="1" applyFont="1" applyFill="1" applyBorder="1"/>
    <x:xf numFmtId="3" fontId="0" fillId="5" borderId="43" xfId="0" applyNumberFormat="1" applyFont="1" applyFill="1" applyBorder="1"/>
    <x:xf numFmtId="3" fontId="0" fillId="6" borderId="43" xfId="0" applyNumberFormat="1" applyFont="1" applyFill="1" applyBorder="1"/>
    <x:xf numFmtId="0" fontId="12" fillId="6" borderId="44" xfId="0" applyNumberFormat="1" applyFont="1" applyFill="1" applyBorder="1" applyAlignment="1">
      <x:alignment horizontal="center" vertical="center" wrapText="1"/>
    </x:xf>
    <x:xf numFmtId="0" fontId="12" fillId="6" borderId="39" xfId="0" applyNumberFormat="1" applyFont="1" applyFill="1" applyBorder="1"/>
    <x:xf numFmtId="3" fontId="12" fillId="4" borderId="39" xfId="0" applyNumberFormat="1" applyFont="1" applyFill="1" applyBorder="1"/>
    <x:xf numFmtId="3" fontId="12" fillId="5" borderId="39" xfId="0" applyNumberFormat="1" applyFont="1" applyFill="1" applyBorder="1"/>
    <x:xf numFmtId="3" fontId="12" fillId="0" borderId="39" xfId="0" applyNumberFormat="1" applyFont="1" applyFill="1" applyBorder="1"/>
    <x:xf numFmtId="3" fontId="41" fillId="7" borderId="33" xfId="0" applyNumberFormat="1" applyFont="1" applyFill="1" applyBorder="1" applyAlignment="1">
      <x:alignment vertical="center"/>
    </x:xf>
    <x:xf numFmtId="3" fontId="40" fillId="4" borderId="33" xfId="0" applyNumberFormat="1" applyFont="1" applyFill="1" applyBorder="1"/>
    <x:xf numFmtId="3" fontId="40" fillId="5" borderId="33" xfId="0" applyNumberFormat="1" applyFont="1" applyFill="1" applyBorder="1"/>
    <x:xf numFmtId="3" fontId="40" fillId="0" borderId="33" xfId="0" applyNumberFormat="1" applyFont="1" applyFill="1" applyBorder="1"/>
    <x:xf numFmtId="3" fontId="41" fillId="0" borderId="43" xfId="0" applyNumberFormat="1" applyFont="1" applyFill="1" applyBorder="1" applyAlignment="1">
      <x:alignment vertical="center"/>
    </x:xf>
    <x:xf numFmtId="3" fontId="40" fillId="0" borderId="43" xfId="0" applyNumberFormat="1" applyFont="1" applyFill="1" applyBorder="1"/>
    <x:xf numFmtId="3" fontId="40" fillId="4" borderId="43" xfId="0" applyNumberFormat="1" applyFont="1" applyFill="1" applyBorder="1"/>
    <x:xf numFmtId="3" fontId="40" fillId="5" borderId="43" xfId="0" applyNumberFormat="1" applyFont="1" applyFill="1" applyBorder="1"/>
    <x:xf numFmtId="3" fontId="41" fillId="0" borderId="33" xfId="0" applyNumberFormat="1" applyFont="1" applyFill="1" applyBorder="1" applyAlignment="1">
      <x:alignment vertical="center"/>
    </x:xf>
    <x:xf numFmtId="0" fontId="40" fillId="0" borderId="35" xfId="0" applyNumberFormat="1" applyFont="1" applyFill="1" applyBorder="1"/>
    <x:xf numFmtId="3" fontId="40" fillId="4" borderId="35" xfId="0" applyNumberFormat="1" applyFont="1" applyFill="1" applyBorder="1"/>
    <x:xf numFmtId="3" fontId="40" fillId="5" borderId="35" xfId="0" applyNumberFormat="1" applyFont="1" applyFill="1" applyBorder="1"/>
    <x:xf numFmtId="3" fontId="40" fillId="0" borderId="35" xfId="0" applyNumberFormat="1" applyFont="1" applyFill="1" applyBorder="1"/>
    <x:xf numFmtId="3" fontId="0" fillId="0" borderId="32" xfId="0" applyNumberFormat="1" applyFont="1" applyFill="1" applyBorder="1"/>
    <x:xf numFmtId="0" fontId="43" fillId="0" borderId="32" xfId="0" applyNumberFormat="1" applyFont="1" applyFill="1" applyBorder="1"/>
    <x:xf numFmtId="0" fontId="11" fillId="6" borderId="43" xfId="0" applyNumberFormat="1" applyFont="1" applyFill="1" applyBorder="1" applyAlignment="1">
      <x:alignment horizontal="center"/>
    </x:xf>
    <x:xf numFmtId="0" fontId="42" fillId="6" borderId="39" xfId="0" applyNumberFormat="1" applyFont="1" applyFill="1" applyBorder="1" applyAlignment="1">
      <x:alignment horizontal="center" wrapText="1"/>
    </x:xf>
    <x:xf numFmtId="3" fontId="44" fillId="0" borderId="34" xfId="0" applyNumberFormat="1" applyFont="1" applyFill="1" applyBorder="1" applyAlignment="1">
      <x:alignment vertical="center"/>
    </x:xf>
    <x:xf numFmtId="3" fontId="40" fillId="4" borderId="34" xfId="0" applyNumberFormat="1" applyFont="1" applyFill="1" applyBorder="1"/>
    <x:xf numFmtId="3" fontId="40" fillId="5" borderId="34" xfId="0" applyNumberFormat="1" applyFont="1" applyFill="1" applyBorder="1"/>
    <x:xf numFmtId="3" fontId="40" fillId="0" borderId="34" xfId="0" applyNumberFormat="1" applyFont="1" applyFill="1" applyBorder="1"/>
    <x:xf numFmtId="166" fontId="18" fillId="0" borderId="45" xfId="0" applyNumberFormat="1" applyFont="1" applyFill="1" applyBorder="1"/>
    <x:xf numFmtId="3" fontId="40" fillId="0" borderId="46" xfId="0" applyNumberFormat="1" applyFont="1" applyFill="1" applyBorder="1"/>
    <x:xf numFmtId="3" fontId="12" fillId="0" borderId="47" xfId="0" applyNumberFormat="1" applyFont="1" applyFill="1" applyBorder="1"/>
    <x:xf numFmtId="3" fontId="40" fillId="0" borderId="48" xfId="0" applyNumberFormat="1" applyFont="1" applyFill="1" applyBorder="1"/>
    <x:xf numFmtId="3" fontId="0" fillId="6" borderId="46" xfId="0" applyNumberFormat="1" applyFont="1" applyFill="1" applyBorder="1"/>
    <x:xf numFmtId="3" fontId="40" fillId="0" borderId="49" xfId="0" applyNumberFormat="1" applyFont="1" applyFill="1" applyBorder="1"/>
    <x:xf numFmtId="3" fontId="40" fillId="0" borderId="50" xfId="0" applyNumberFormat="1" applyFont="1" applyFill="1" applyBorder="1"/>
    <x:xf numFmtId="0" fontId="39" fillId="6" borderId="51" xfId="0" applyNumberFormat="1" applyFont="1" applyFill="1" applyBorder="1" applyAlignment="1">
      <x:alignment horizontal="center"/>
    </x:xf>
    <x:xf numFmtId="0" fontId="39" fillId="6" borderId="52" xfId="0" applyNumberFormat="1" applyFont="1" applyFill="1" applyBorder="1" applyAlignment="1">
      <x:alignment horizontal="center"/>
    </x:xf>
    <x:xf numFmtId="0" fontId="39" fillId="6" borderId="53" xfId="0" applyNumberFormat="1" applyFont="1" applyFill="1" applyBorder="1" applyAlignment="1">
      <x:alignment horizontal="center"/>
    </x:xf>
    <x:xf numFmtId="0" fontId="0" fillId="0" borderId="32" xfId="0" applyNumberFormat="1" applyFont="1" applyFill="1" applyBorder="1" applyAlignment="1">
      <x:alignment horizontal="left" wrapText="1"/>
    </x:xf>
    <x:xf numFmtId="0" fontId="0" fillId="38" borderId="0" xfId="0" applyNumberFormat="1" applyFont="1" applyFill="1" applyBorder="1"/>
    <x:xf numFmtId="0" fontId="45" fillId="38" borderId="0" xfId="0" applyNumberFormat="1" applyFont="1" applyFill="1" applyBorder="1"/>
    <x:xf numFmtId="0" fontId="45" fillId="38" borderId="0" xfId="0" applyNumberFormat="1" applyFont="1" applyFill="1" applyBorder="1" applyAlignment="1">
      <x:alignment horizontal="center"/>
    </x:xf>
    <x:xf numFmtId="0" fontId="45" fillId="38" borderId="0" xfId="0" applyNumberFormat="1" applyFont="1" applyFill="1" applyBorder="1" applyAlignment="1">
      <x:alignment horizontal="center" vertical="center"/>
    </x:xf>
    <x:xf numFmtId="0" fontId="0" fillId="38" borderId="32" xfId="0" applyNumberFormat="1" applyFont="1" applyFill="1" applyBorder="1"/>
    <x:xf numFmtId="0" fontId="45" fillId="38" borderId="32" xfId="0" applyNumberFormat="1" applyFont="1" applyFill="1" applyBorder="1"/>
    <x:xf numFmtId="0" fontId="45" fillId="38" borderId="32" xfId="0" applyNumberFormat="1" applyFont="1" applyFill="1" applyBorder="1" applyAlignment="1">
      <x:alignment horizontal="center"/>
    </x:xf>
    <x:xf numFmtId="0" fontId="45" fillId="38" borderId="32" xfId="0" applyNumberFormat="1" applyFont="1" applyFill="1" applyBorder="1" applyAlignment="1">
      <x:alignment horizontal="center" vertical="center"/>
    </x:xf>
    <x:xf numFmtId="0" fontId="46" fillId="38" borderId="0" xfId="0" applyNumberFormat="1" applyFont="1" applyFill="1" applyBorder="1"/>
    <x:xf numFmtId="0" fontId="46" fillId="38" borderId="0" xfId="0" applyNumberFormat="1" applyFont="1" applyFill="1" applyBorder="1" applyAlignment="1">
      <x:alignment wrapText="1"/>
    </x:xf>
    <x:xf numFmtId="0" fontId="46" fillId="38" borderId="0" xfId="0" applyNumberFormat="1" applyFont="1" applyFill="1" applyBorder="1" applyAlignment="1">
      <x:alignment horizontal="center" wrapText="1"/>
    </x:xf>
    <x:xf numFmtId="0" fontId="46" fillId="38" borderId="0" xfId="0" applyNumberFormat="1" applyFont="1" applyFill="1" applyBorder="1" applyAlignment="1">
      <x:alignment horizontal="center" vertical="center" wrapText="1"/>
    </x:xf>
    <x:xf numFmtId="0" fontId="46" fillId="38" borderId="32" xfId="0" applyNumberFormat="1" applyFont="1" applyFill="1" applyBorder="1"/>
    <x:xf numFmtId="0" fontId="46" fillId="38" borderId="32" xfId="0" applyNumberFormat="1" applyFont="1" applyFill="1" applyBorder="1" applyAlignment="1">
      <x:alignment wrapText="1"/>
    </x:xf>
    <x:xf numFmtId="0" fontId="46" fillId="38" borderId="32" xfId="0" applyNumberFormat="1" applyFont="1" applyFill="1" applyBorder="1" applyAlignment="1">
      <x:alignment horizontal="center" wrapText="1"/>
    </x:xf>
    <x:xf numFmtId="0" fontId="46" fillId="38" borderId="32" xfId="0" applyNumberFormat="1" applyFont="1" applyFill="1" applyBorder="1" applyAlignment="1">
      <x:alignment horizontal="center" vertical="center" wrapText="1"/>
    </x:xf>
    <x:xf numFmtId="200" fontId="0" fillId="0" borderId="0" xfId="0" applyNumberFormat="1" applyFont="1" applyFill="1" applyBorder="1"/>
    <x:xf numFmtId="200" fontId="0" fillId="0" borderId="32"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cellXfs>
  <x:cellStyles count="95">
    <x:cellStyle name="20% - Accent1 2" xfId="55"/>
    <x:cellStyle name="20% - Accent2 2" xfId="58"/>
    <x:cellStyle name="20% - Accent3 2" xfId="61"/>
    <x:cellStyle name="20% - Accent4 2" xfId="64"/>
    <x:cellStyle name="20% - Accent5 2" xfId="67"/>
    <x:cellStyle name="20% - Accent6 2" xfId="70"/>
    <x:cellStyle name="20% - Énfasis1" xfId="28"/>
    <x:cellStyle name="20% - Énfasis2" xfId="32"/>
    <x:cellStyle name="20% - Énfasis3" xfId="36"/>
    <x:cellStyle name="20% - Énfasis4" xfId="40"/>
    <x:cellStyle name="20% - Énfasis5" xfId="44"/>
    <x:cellStyle name="20% - Énfasis6" xfId="48"/>
    <x:cellStyle name="40% - Accent1 2" xfId="56"/>
    <x:cellStyle name="40% - Accent2 2" xfId="59"/>
    <x:cellStyle name="40% - Accent3 2" xfId="62"/>
    <x:cellStyle name="40% - Accent4 2" xfId="65"/>
    <x:cellStyle name="40% - Accent5 2" xfId="68"/>
    <x:cellStyle name="40% - Accent6 2" xfId="71"/>
    <x:cellStyle name="40% - Énfasis1" xfId="29"/>
    <x:cellStyle name="40% - Énfasis2" xfId="33"/>
    <x:cellStyle name="40% - Énfasis3" xfId="37"/>
    <x:cellStyle name="40% - Énfasis4" xfId="41"/>
    <x:cellStyle name="40% - Énfasis5" xfId="45"/>
    <x:cellStyle name="40% - Énfasis6" xfId="49"/>
    <x:cellStyle name="60% - Accent1 2" xfId="57"/>
    <x:cellStyle name="60% - Accent2 2" xfId="60"/>
    <x:cellStyle name="60% - Accent3 2" xfId="63"/>
    <x:cellStyle name="60% - Accent4 2" xfId="66"/>
    <x:cellStyle name="60% - Accent5 2" xfId="69"/>
    <x:cellStyle name="60% - Accent6 2" xfId="72"/>
    <x:cellStyle name="60% - Énfasis1" xfId="30"/>
    <x:cellStyle name="60% - Énfasis2" xfId="34"/>
    <x:cellStyle name="60% - Énfasis3" xfId="38"/>
    <x:cellStyle name="60% - Énfasis4" xfId="42"/>
    <x:cellStyle name="60% - Énfasis5" xfId="46"/>
    <x:cellStyle name="60% - Énfasis6" xfId="50"/>
    <x:cellStyle name="Bueno" xfId="16"/>
    <x:cellStyle name="Cálculo" xfId="21"/>
    <x:cellStyle name="Celda de comprobación" xfId="23"/>
    <x:cellStyle name="Celda vinculada" xfId="22"/>
    <x:cellStyle name="Comma 2" xfId="74"/>
    <x:cellStyle name="Comma 2 2" xfId="78"/>
    <x:cellStyle name="Comma 3" xfId="91"/>
    <x:cellStyle name="Comma 4" xfId="83"/>
    <x:cellStyle name="Currency 2" xfId="92"/>
    <x:cellStyle name="Currency 3" xfId="88"/>
    <x:cellStyle name="Dålig 2" xfId="2"/>
    <x:cellStyle name="Encabezado 1" xfId="12"/>
    <x:cellStyle name="Encabezado 4" xfId="15"/>
    <x:cellStyle name="Énfasis1" xfId="27"/>
    <x:cellStyle name="Énfasis2" xfId="31"/>
    <x:cellStyle name="Énfasis3" xfId="35"/>
    <x:cellStyle name="Énfasis4" xfId="39"/>
    <x:cellStyle name="Énfasis5" xfId="43"/>
    <x:cellStyle name="Énfasis6" xfId="47"/>
    <x:cellStyle name="Entrada" xfId="19"/>
    <x:cellStyle name="Hyperlink 2" xfId="76"/>
    <x:cellStyle name="Incorrecto" xfId="17"/>
    <x:cellStyle name="kg" xfId="8"/>
    <x:cellStyle name="Neutral" xfId="18"/>
    <x:cellStyle name="Normal" xfId="0"/>
    <x:cellStyle name="Normal 10" xfId="53"/>
    <x:cellStyle name="Normal 11" xfId="73"/>
    <x:cellStyle name="Normal 12" xfId="77"/>
    <x:cellStyle name="Normal 2" xfId="1"/>
    <x:cellStyle name="Normal 2 2" xfId="90"/>
    <x:cellStyle name="Normal 2 3" xfId="79"/>
    <x:cellStyle name="Normal 3" xfId="3"/>
    <x:cellStyle name="Normal 3 2" xfId="82"/>
    <x:cellStyle name="Normal 4" xfId="4"/>
    <x:cellStyle name="Normal 4 2" xfId="84"/>
    <x:cellStyle name="Normal 5" xfId="5"/>
    <x:cellStyle name="Normal 5 2" xfId="85"/>
    <x:cellStyle name="Normal 6" xfId="6"/>
    <x:cellStyle name="Normal 6 2" xfId="10"/>
    <x:cellStyle name="Normal 6 3" xfId="86"/>
    <x:cellStyle name="Normal 7" xfId="7"/>
    <x:cellStyle name="Normal 7 2" xfId="87"/>
    <x:cellStyle name="Normal 8" xfId="9"/>
    <x:cellStyle name="Normal 8 2" xfId="89"/>
    <x:cellStyle name="Normal 9" xfId="51"/>
    <x:cellStyle name="Normal 9 2" xfId="93"/>
    <x:cellStyle name="Note 2" xfId="52"/>
    <x:cellStyle name="Note 3" xfId="54"/>
    <x:cellStyle name="Percent 2" xfId="75"/>
    <x:cellStyle name="Percent 2 2" xfId="81"/>
    <x:cellStyle name="Percent 3" xfId="94"/>
    <x:cellStyle name="Percent 4" xfId="80"/>
    <x:cellStyle name="Salida" xfId="20"/>
    <x:cellStyle name="Texto de advertencia" xfId="24"/>
    <x:cellStyle name="Texto explicativo" xfId="25"/>
    <x:cellStyle name="Título" xfId="11"/>
    <x:cellStyle name="Título 2" xfId="13"/>
    <x:cellStyle name="Título 3" xfId="14"/>
    <x:cellStyle name="Total" xfId="26"/>
  </x:cellStyles>
  <x:dxfs count="15">
    <x:dxf>
      <x:font>
        <x:color rgb="FFFF0000"/>
      </x:font>
    </x:dxf>
    <x:dxf>
      <x:fill>
        <x:patternFill>
          <x:bgColor rgb="FF00FF00"/>
        </x:patternFill>
      </x:fill>
    </x:dxf>
    <x:dxf>
      <x:fill>
        <x:patternFill>
          <x:bgColor rgb="FFFF0000"/>
        </x:patternFill>
      </x:fill>
    </x:dxf>
    <x:dxf>
      <x:fill>
        <x:patternFill>
          <x:bgColor rgb="FF00FF00"/>
        </x:patternFill>
      </x:fill>
    </x:dxf>
    <x:dxf>
      <x:fill>
        <x:patternFill>
          <x:bgColor rgb="FFFF0000"/>
        </x:patternFill>
      </x:fill>
    </x:dxf>
    <x:dxf>
      <x:fill>
        <x:patternFill>
          <x:bgColor rgb="FF00FF00"/>
        </x:patternFill>
      </x:fill>
    </x:dxf>
    <x:dxf>
      <x:fill>
        <x:patternFill>
          <x:bgColor rgb="FFFF0000"/>
        </x:patternFill>
      </x:fill>
    </x:dxf>
    <x:dxf>
      <x:fill>
        <x:patternFill>
          <x:bgColor rgb="FF00FF00"/>
        </x:patternFill>
      </x:fill>
    </x:dxf>
    <x:dxf>
      <x:fill>
        <x:patternFill>
          <x:bgColor rgb="FFFF0000"/>
        </x:patternFill>
      </x:fill>
    </x:dxf>
    <x:dxf>
      <x:fill>
        <x:patternFill>
          <x:bgColor rgb="FF00FF00"/>
        </x:patternFill>
      </x:fill>
    </x:dxf>
    <x:dxf>
      <x:fill>
        <x:patternFill>
          <x:bgColor rgb="FFFF0000"/>
        </x:patternFill>
      </x:fill>
    </x:dxf>
    <x:dxf>
      <x:fill>
        <x:patternFill>
          <x:bgColor rgb="FFFF0000"/>
        </x:patternFill>
      </x:fill>
    </x:dxf>
    <x:dxf>
      <x:fill>
        <x:patternFill>
          <x:bgColor rgb="FFFF0000"/>
        </x:patternFill>
      </x:fill>
    </x:dxf>
    <x:dxf>
      <x:fill>
        <x:patternFill>
          <x:bgColor rgb="FF00FF00"/>
        </x:patternFill>
      </x:fill>
    </x:dxf>
    <x:dxf>
      <x:fill>
        <x:patternFill>
          <x:bgColor rgb="FFFF000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2e6eee8034841b6" /><Relationship Type="http://schemas.openxmlformats.org/officeDocument/2006/relationships/theme" Target="/xl/theme/theme1.xml" Id="Rd883b7b3e11049b3" /><Relationship Type="http://schemas.openxmlformats.org/officeDocument/2006/relationships/sharedStrings" Target="/xl/sharedStrings.xml" Id="R05f2125bea174385" /><Relationship Type="http://schemas.openxmlformats.org/officeDocument/2006/relationships/worksheet" Target="/xl/worksheets/sheet1.xml" Id="R1da5d0c128ce4ffe" /><Relationship Type="http://schemas.openxmlformats.org/officeDocument/2006/relationships/worksheet" Target="/xl/worksheets/sheet2.xml" Id="Rc85539a86af94118" /><Relationship Type="http://schemas.openxmlformats.org/officeDocument/2006/relationships/worksheet" Target="/xl/worksheets/sheet3.xml" Id="R0cec214169e24290"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Pr>
    <x:tabColor rgb="FF00FF00"/>
  </x:sheetPr>
  <x:sheetFormatPr baseColWidth="10" defaultColWidth="8.88671875" defaultRowHeight="13.199999809265137"/>
  <x:cols>
    <x:col min="1" max="1" width="38.33203125" style="2" customWidth="1"/>
    <x:col min="2" max="2" width="13.88671875" style="2" customWidth="1"/>
    <x:col min="3" max="3" width="13.88671875" style="4" customWidth="1"/>
    <x:col min="4" max="4" width="13.88671875" style="2" customWidth="1"/>
    <x:col min="5" max="5" width="15.33203125" style="2" customWidth="1"/>
    <x:col min="6" max="6" width="13.88671875" style="2" customWidth="1"/>
    <x:col min="7" max="8" width="13.88671875" style="4" customWidth="1"/>
    <x:col min="9" max="9" width="14.88671875" style="2" customWidth="1"/>
    <x:col min="10" max="12" width="14.109375" style="2" customWidth="1"/>
    <x:col min="13" max="13" width="8.88671875" customWidth="1"/>
    <x:col min="14" max="16384" width="8.88671875" style="2" customWidth="0"/>
  </x:cols>
  <x:sheetData>
    <x:row r="1" ht="21.600000381469727">
      <x:c r="A1" s="50" t="s">
        <x:v>0</x:v>
      </x:c>
      <x:c r="B1" s="3"/>
      <x:c r="E1" s="48"/>
      <x:c r="I1" s="64" t="s">
        <x:v>1</x:v>
      </x:c>
      <x:c r="J1" s="65"/>
      <x:c r="K1" s="65"/>
      <x:c r="L1" s="66"/>
    </x:row>
    <x:row r="2" ht="53.25" customHeight="1">
      <x:c r="A2" s="14" t="str">
        <x:v>Plantilla original de referencia – utilizar la hoja “Signy” para el control del proyecto.</x:v>
      </x:c>
      <x:c r="B2" s="20" t="s">
        <x:v>2</x:v>
      </x:c>
      <x:c r="C2" s="30" t="s">
        <x:v>3</x:v>
      </x:c>
      <x:c r="D2" s="9" t="s">
        <x:v>4</x:v>
      </x:c>
      <x:c r="E2" s="9" t="s">
        <x:v>5</x:v>
      </x:c>
      <x:c r="F2" s="20" t="s">
        <x:v>6</x:v>
      </x:c>
      <x:c r="G2" s="25" t="s">
        <x:v>7</x:v>
      </x:c>
      <x:c r="H2" s="25" t="s">
        <x:v>8</x:v>
      </x:c>
      <x:c r="I2" s="11" t="s">
        <x:v>9</x:v>
      </x:c>
      <x:c r="J2" s="9" t="s">
        <x:v>10</x:v>
      </x:c>
      <x:c r="K2" s="45" t="s">
        <x:v>11</x:v>
      </x:c>
      <x:c r="L2" s="10" t="s">
        <x:v>12</x:v>
      </x:c>
    </x:row>
    <x:row r="3" ht="23.25" customHeight="1">
      <x:c r="A3" s="15"/>
      <x:c r="B3" s="51" t="s">
        <x:v>13</x:v>
      </x:c>
      <x:c r="C3" s="52" t="s">
        <x:v>14</x:v>
      </x:c>
      <x:c r="D3" s="6"/>
      <x:c r="E3" s="52"/>
      <x:c r="F3" s="21"/>
      <x:c r="G3" s="26"/>
      <x:c r="H3" s="26"/>
      <x:c r="I3" s="8"/>
      <x:c r="J3" s="5"/>
      <x:c r="K3" s="46"/>
      <x:c r="L3" s="7"/>
    </x:row>
    <x:row r="4" ht="24" customHeight="1">
      <x:c r="A4" s="16" t="s">
        <x:v>15</x:v>
      </x:c>
      <x:c r="B4" s="35">
        <x:v>8250000</x:v>
      </x:c>
      <x:c r="C4" s="13">
        <x:v>8375000</x:v>
      </x:c>
      <x:c r="D4" s="31"/>
      <x:c r="E4" s="31"/>
      <x:c r="F4" s="12"/>
      <x:c r="G4" s="12"/>
      <x:c r="H4" s="13">
        <x:v>0</x:v>
      </x:c>
      <x:c r="I4" s="39"/>
      <x:c r="J4" s="39"/>
      <x:c r="K4" s="47"/>
      <x:c r="L4" s="53"/>
    </x:row>
    <x:row r="5" ht="20.25" customHeight="1">
      <x:c r="A5" s="18" t="s">
        <x:v>16</x:v>
      </x:c>
      <x:c r="B5" s="37" t="n">
        <x:f t="shared" ref="B5:F5" si="0">SUM(B7:B12)+SUM(B14:B17)+SUM(B19:B23)+SUM(B25:B28)+SUM(B30:B39)+SUM(B41:B46)+SUM(B48:B50)+SUM(B52:B55)</x:f>
        <x:v>7248530</x:v>
      </x:c>
      <x:c r="C5" s="27" t="n">
        <x:f>SUM(C7:C12)+SUM(C14:C17)+SUM(C19:C23)+SUM(C25:C28)+SUM(C30:C39)+SUM(C41:C46)+SUM(C48:C50)+SUM(C52:C55)</x:f>
        <x:v>7239650</x:v>
      </x:c>
      <x:c r="D5" s="32">
        <x:f t="shared" si="0"/>
        <x:v>4159500</x:v>
      </x:c>
      <x:c r="E5" s="32">
        <x:f t="shared" si="0"/>
        <x:v>1918250</x:v>
      </x:c>
      <x:c r="F5" s="22">
        <x:f t="shared" si="0"/>
        <x:v>1182800</x:v>
      </x:c>
      <x:c r="G5" s="27" t="n">
        <x:f>SUM(G7:G12)+SUM(G14:G17)+SUM(G19:G23)+SUM(G25:G28)+SUM(G30:G39)+SUM(G41:G46)+SUM(G48:G50)+SUM(G52:G55)</x:f>
        <x:v>7247050</x:v>
      </x:c>
      <x:c r="H5" s="27" t="n">
        <x:f t="shared" ref="H5:H36" si="1">G5-C5</x:f>
        <x:v>7400</x:v>
      </x:c>
      <x:c r="I5" s="41"/>
      <x:c r="J5" s="32"/>
      <x:c r="K5" s="37"/>
      <x:c r="L5" s="54"/>
    </x:row>
    <x:row r="6">
      <x:c r="A6" s="19" t="s">
        <x:v>17</x:v>
      </x:c>
      <x:c r="B6" s="38" t="n">
        <x:f t="shared" ref="B6:F6" si="2">SUM(B7:B12)</x:f>
        <x:v>316000</x:v>
      </x:c>
      <x:c r="C6" s="28" t="n">
        <x:f>SUM(C7:C12)</x:f>
        <x:v>317250</x:v>
      </x:c>
      <x:c r="D6" s="33">
        <x:f t="shared" si="2"/>
        <x:v>272200</x:v>
      </x:c>
      <x:c r="E6" s="33">
        <x:f t="shared" si="2"/>
        <x:v>0</x:v>
      </x:c>
      <x:c r="F6" s="23">
        <x:f t="shared" si="2"/>
        <x:v>0</x:v>
      </x:c>
      <x:c r="G6" s="28" t="n">
        <x:f>SUM(G7:G12)</x:f>
        <x:v>272200</x:v>
      </x:c>
      <x:c r="H6" s="28">
        <x:f t="shared" si="1"/>
        <x:v>-45050</x:v>
      </x:c>
      <x:c r="I6" s="42"/>
      <x:c r="J6" s="33"/>
      <x:c r="K6" s="38"/>
      <x:c r="L6" s="55"/>
    </x:row>
    <x:row r="7">
      <x:c r="A7" s="17" t="s">
        <x:v>18</x:v>
      </x:c>
      <x:c r="B7" s="36">
        <x:v>10000</x:v>
      </x:c>
      <x:c r="C7" s="29">
        <x:v>12500</x:v>
      </x:c>
      <x:c r="D7" s="34">
        <x:v>8500</x:v>
      </x:c>
      <x:c r="E7" s="34">
        <x:v>0</x:v>
      </x:c>
      <x:c r="F7" s="24"/>
      <x:c r="G7" s="29" t="n">
        <x:f t="shared" ref="G7:G12" si="3">D7+E7+F7</x:f>
        <x:v>8500</x:v>
      </x:c>
      <x:c r="H7" s="29">
        <x:f t="shared" si="1"/>
        <x:v>-4000</x:v>
      </x:c>
      <x:c r="I7" s="43"/>
      <x:c r="J7" s="34"/>
      <x:c r="K7" s="36"/>
      <x:c r="L7" s="56">
        <x:v>-4000</x:v>
      </x:c>
    </x:row>
    <x:row r="8">
      <x:c r="A8" s="17" t="s">
        <x:v>19</x:v>
      </x:c>
      <x:c r="B8" s="36">
        <x:v>150000</x:v>
      </x:c>
      <x:c r="C8" s="29">
        <x:v>145000</x:v>
      </x:c>
      <x:c r="D8" s="34">
        <x:v>120000</x:v>
      </x:c>
      <x:c r="E8" s="34">
        <x:v>0</x:v>
      </x:c>
      <x:c r="F8" s="24"/>
      <x:c r="G8" s="29">
        <x:f t="shared" si="3"/>
        <x:v>120000</x:v>
      </x:c>
      <x:c r="H8" s="29">
        <x:f t="shared" si="1"/>
        <x:v>-25000</x:v>
      </x:c>
      <x:c r="I8" s="43"/>
      <x:c r="J8" s="34"/>
      <x:c r="K8" s="36"/>
      <x:c r="L8" s="56">
        <x:v>-25000</x:v>
      </x:c>
    </x:row>
    <x:row r="9">
      <x:c r="A9" s="17" t="s">
        <x:v>20</x:v>
      </x:c>
      <x:c r="B9" s="36">
        <x:v>50000</x:v>
      </x:c>
      <x:c r="C9" s="29">
        <x:v>55750</x:v>
      </x:c>
      <x:c r="D9" s="34">
        <x:v>55700</x:v>
      </x:c>
      <x:c r="E9" s="34">
        <x:v>0</x:v>
      </x:c>
      <x:c r="F9" s="24"/>
      <x:c r="G9" s="29">
        <x:f t="shared" si="3"/>
        <x:v>55700</x:v>
      </x:c>
      <x:c r="H9" s="29">
        <x:f t="shared" si="1"/>
        <x:v>-50</x:v>
      </x:c>
      <x:c r="I9" s="43"/>
      <x:c r="J9" s="34"/>
      <x:c r="K9" s="36"/>
      <x:c r="L9" s="56">
        <x:v>-50</x:v>
      </x:c>
    </x:row>
    <x:row r="10">
      <x:c r="A10" s="17" t="s">
        <x:v>21</x:v>
      </x:c>
      <x:c r="B10" s="36">
        <x:v>25000</x:v>
      </x:c>
      <x:c r="C10" s="29">
        <x:v>22500</x:v>
      </x:c>
      <x:c r="D10" s="34">
        <x:v>22500</x:v>
      </x:c>
      <x:c r="E10" s="34">
        <x:v>0</x:v>
      </x:c>
      <x:c r="F10" s="24"/>
      <x:c r="G10" s="29">
        <x:f t="shared" si="3"/>
        <x:v>22500</x:v>
      </x:c>
      <x:c r="H10" s="29">
        <x:f t="shared" si="1"/>
        <x:v>0</x:v>
      </x:c>
      <x:c r="I10" s="43"/>
      <x:c r="J10" s="34"/>
      <x:c r="K10" s="36"/>
      <x:c r="L10" s="56">
        <x:v>0</x:v>
      </x:c>
    </x:row>
    <x:row r="11">
      <x:c r="A11" s="17" t="s">
        <x:v>22</x:v>
      </x:c>
      <x:c r="B11" s="36">
        <x:v>70500</x:v>
      </x:c>
      <x:c r="C11" s="29">
        <x:v>70500</x:v>
      </x:c>
      <x:c r="D11" s="34">
        <x:v>65500</x:v>
      </x:c>
      <x:c r="E11" s="34">
        <x:v>0</x:v>
      </x:c>
      <x:c r="F11" s="24"/>
      <x:c r="G11" s="29">
        <x:f t="shared" si="3"/>
        <x:v>65500</x:v>
      </x:c>
      <x:c r="H11" s="29">
        <x:f t="shared" si="1"/>
        <x:v>-5000</x:v>
      </x:c>
      <x:c r="I11" s="43"/>
      <x:c r="J11" s="34"/>
      <x:c r="K11" s="36"/>
      <x:c r="L11" s="56">
        <x:v>-5000</x:v>
      </x:c>
    </x:row>
    <x:row r="12">
      <x:c r="A12" s="17" t="s">
        <x:v>23</x:v>
      </x:c>
      <x:c r="B12" s="36">
        <x:v>10500</x:v>
      </x:c>
      <x:c r="C12" s="29">
        <x:v>11000</x:v>
      </x:c>
      <x:c r="D12" s="34">
        <x:v>0</x:v>
      </x:c>
      <x:c r="E12" s="34">
        <x:v>0</x:v>
      </x:c>
      <x:c r="F12" s="24"/>
      <x:c r="G12" s="29">
        <x:f t="shared" si="3"/>
        <x:v>0</x:v>
      </x:c>
      <x:c r="H12" s="29">
        <x:f t="shared" si="1"/>
        <x:v>-11000</x:v>
      </x:c>
      <x:c r="I12" s="43"/>
      <x:c r="J12" s="34"/>
      <x:c r="K12" s="36"/>
      <x:c r="L12" s="56">
        <x:v>-11000</x:v>
      </x:c>
    </x:row>
    <x:row r="13">
      <x:c r="A13" s="19" t="s">
        <x:v>24</x:v>
      </x:c>
      <x:c r="B13" s="38" t="n">
        <x:f t="shared" ref="B13:F13" si="4">SUM(B14:B17)</x:f>
        <x:v>433500</x:v>
      </x:c>
      <x:c r="C13" s="28" t="n">
        <x:f>SUM(C14:C17)</x:f>
        <x:v>409500</x:v>
      </x:c>
      <x:c r="D13" s="33">
        <x:f t="shared" si="4"/>
        <x:v>390500</x:v>
      </x:c>
      <x:c r="E13" s="33">
        <x:f t="shared" si="4"/>
        <x:v>0</x:v>
      </x:c>
      <x:c r="F13" s="49">
        <x:f t="shared" si="4"/>
        <x:v>20500</x:v>
      </x:c>
      <x:c r="G13" s="28" t="n">
        <x:f>SUM(G14:G17)</x:f>
        <x:v>397500</x:v>
      </x:c>
      <x:c r="H13" s="28">
        <x:f t="shared" si="1"/>
        <x:v>-12000</x:v>
      </x:c>
      <x:c r="I13" s="42"/>
      <x:c r="J13" s="33"/>
      <x:c r="K13" s="38"/>
      <x:c r="L13" s="55"/>
    </x:row>
    <x:row r="14">
      <x:c r="A14" s="17" t="s">
        <x:v>18</x:v>
      </x:c>
      <x:c r="B14" s="36">
        <x:v>8500</x:v>
      </x:c>
      <x:c r="C14" s="29">
        <x:v>12000</x:v>
      </x:c>
      <x:c r="D14" s="34">
        <x:v>11500</x:v>
      </x:c>
      <x:c r="E14" s="34">
        <x:v>0</x:v>
      </x:c>
      <x:c r="F14" s="24">
        <x:v>2000</x:v>
      </x:c>
      <x:c r="G14" s="29" t="n">
        <x:f>D14+E14+F14</x:f>
        <x:v>13500</x:v>
      </x:c>
      <x:c r="H14" s="44">
        <x:f t="shared" si="1"/>
        <x:v>1500</x:v>
      </x:c>
      <x:c r="I14" s="43"/>
      <x:c r="J14" s="34">
        <x:v>1500</x:v>
      </x:c>
      <x:c r="K14" s="36"/>
      <x:c r="L14" s="56"/>
    </x:row>
    <x:row r="15">
      <x:c r="A15" s="17" t="s">
        <x:v>24</x:v>
      </x:c>
      <x:c r="B15" s="36">
        <x:v>250000</x:v>
      </x:c>
      <x:c r="C15" s="29">
        <x:v>224000</x:v>
      </x:c>
      <x:c r="D15" s="34">
        <x:v>205500</x:v>
      </x:c>
      <x:c r="E15" s="34">
        <x:v>0</x:v>
      </x:c>
      <x:c r="F15" s="24">
        <x:v>18500</x:v>
      </x:c>
      <x:c r="G15" s="29">
        <x:v>210500</x:v>
      </x:c>
      <x:c r="H15" s="44">
        <x:f t="shared" si="1"/>
        <x:v>-13500</x:v>
      </x:c>
      <x:c r="I15" s="43"/>
      <x:c r="J15" s="34">
        <x:v>-13500</x:v>
      </x:c>
      <x:c r="K15" s="36"/>
      <x:c r="L15" s="56"/>
    </x:row>
    <x:row r="16">
      <x:c r="A16" s="17" t="s">
        <x:v>25</x:v>
      </x:c>
      <x:c r="B16" s="36">
        <x:v>100000</x:v>
      </x:c>
      <x:c r="C16" s="29">
        <x:v>98500</x:v>
      </x:c>
      <x:c r="D16" s="34">
        <x:v>98500</x:v>
      </x:c>
      <x:c r="E16" s="34">
        <x:v>0</x:v>
      </x:c>
      <x:c r="F16" s="24">
        <x:v>0</x:v>
      </x:c>
      <x:c r="G16" s="29" t="n">
        <x:f>D16+E16+F16</x:f>
        <x:v>98500</x:v>
      </x:c>
      <x:c r="H16" s="44">
        <x:f t="shared" si="1"/>
        <x:v>0</x:v>
      </x:c>
      <x:c r="I16" s="43"/>
      <x:c r="J16" s="34"/>
      <x:c r="K16" s="36"/>
      <x:c r="L16" s="56"/>
    </x:row>
    <x:row r="17">
      <x:c r="A17" s="17" t="s">
        <x:v>26</x:v>
      </x:c>
      <x:c r="B17" s="36">
        <x:v>75000</x:v>
      </x:c>
      <x:c r="C17" s="29">
        <x:v>75000</x:v>
      </x:c>
      <x:c r="D17" s="34">
        <x:v>75000</x:v>
      </x:c>
      <x:c r="E17" s="34">
        <x:v>0</x:v>
      </x:c>
      <x:c r="F17" s="24">
        <x:v>0</x:v>
      </x:c>
      <x:c r="G17" s="29" t="n">
        <x:f>D17+E17+F17</x:f>
        <x:v>75000</x:v>
      </x:c>
      <x:c r="H17" s="44">
        <x:f t="shared" si="1"/>
        <x:v>0</x:v>
      </x:c>
      <x:c r="I17" s="43"/>
      <x:c r="J17" s="34"/>
      <x:c r="K17" s="36"/>
      <x:c r="L17" s="56"/>
    </x:row>
    <x:row r="18">
      <x:c r="A18" s="19" t="s">
        <x:v>27</x:v>
      </x:c>
      <x:c r="B18" s="38" t="n">
        <x:f t="shared" ref="B18:F18" si="5">SUM(B19:B23)</x:f>
        <x:v>369500</x:v>
      </x:c>
      <x:c r="C18" s="28" t="n">
        <x:f>SUM(C19:C23)</x:f>
        <x:v>374500</x:v>
      </x:c>
      <x:c r="D18" s="33">
        <x:f t="shared" si="5"/>
        <x:v>294500</x:v>
      </x:c>
      <x:c r="E18" s="33">
        <x:f t="shared" si="5"/>
        <x:v>0</x:v>
      </x:c>
      <x:c r="F18" s="49">
        <x:f t="shared" si="5"/>
        <x:v>80000</x:v>
      </x:c>
      <x:c r="G18" s="28" t="n">
        <x:f>SUM(G19:G23)</x:f>
        <x:v>374500</x:v>
      </x:c>
      <x:c r="H18" s="28">
        <x:f t="shared" si="1"/>
        <x:v>0</x:v>
      </x:c>
      <x:c r="I18" s="42"/>
      <x:c r="J18" s="33"/>
      <x:c r="K18" s="38"/>
      <x:c r="L18" s="55"/>
    </x:row>
    <x:row r="19">
      <x:c r="A19" s="17" t="s">
        <x:v>18</x:v>
      </x:c>
      <x:c r="B19" s="36">
        <x:v>7500</x:v>
      </x:c>
      <x:c r="C19" s="29">
        <x:v>7500</x:v>
      </x:c>
      <x:c r="D19" s="34">
        <x:v>5000</x:v>
      </x:c>
      <x:c r="E19" s="34">
        <x:v>0</x:v>
      </x:c>
      <x:c r="F19" s="24">
        <x:v>2500</x:v>
      </x:c>
      <x:c r="G19" s="29" t="n">
        <x:f>D19+E19+F19</x:f>
        <x:v>7500</x:v>
      </x:c>
      <x:c r="H19" s="29">
        <x:f t="shared" si="1"/>
        <x:v>0</x:v>
      </x:c>
      <x:c r="I19" s="43"/>
      <x:c r="J19" s="34"/>
      <x:c r="K19" s="36"/>
      <x:c r="L19" s="56"/>
    </x:row>
    <x:row r="20">
      <x:c r="A20" s="17" t="s">
        <x:v>28</x:v>
      </x:c>
      <x:c r="B20" s="36">
        <x:v>125000</x:v>
      </x:c>
      <x:c r="C20" s="29">
        <x:v>155000</x:v>
      </x:c>
      <x:c r="D20" s="34">
        <x:v>140000</x:v>
      </x:c>
      <x:c r="E20" s="34">
        <x:v>0</x:v>
      </x:c>
      <x:c r="F20" s="24">
        <x:v>15000</x:v>
      </x:c>
      <x:c r="G20" s="29" t="n">
        <x:f>D20+E20+F20</x:f>
        <x:v>155000</x:v>
      </x:c>
      <x:c r="H20" s="29">
        <x:f t="shared" si="1"/>
        <x:v>0</x:v>
      </x:c>
      <x:c r="I20" s="43"/>
      <x:c r="J20" s="34"/>
      <x:c r="K20" s="36"/>
      <x:c r="L20" s="56"/>
    </x:row>
    <x:row r="21">
      <x:c r="A21" s="17" t="s">
        <x:v>29</x:v>
      </x:c>
      <x:c r="B21" s="36">
        <x:v>140000</x:v>
      </x:c>
      <x:c r="C21" s="29">
        <x:v>115000</x:v>
      </x:c>
      <x:c r="D21" s="34">
        <x:v>89000</x:v>
      </x:c>
      <x:c r="E21" s="34">
        <x:v>0</x:v>
      </x:c>
      <x:c r="F21" s="24">
        <x:v>26000</x:v>
      </x:c>
      <x:c r="G21" s="29" t="n">
        <x:f>D21+E21+F21</x:f>
        <x:v>115000</x:v>
      </x:c>
      <x:c r="H21" s="29">
        <x:f t="shared" si="1"/>
        <x:v>0</x:v>
      </x:c>
      <x:c r="I21" s="43"/>
      <x:c r="J21" s="34"/>
      <x:c r="K21" s="36"/>
      <x:c r="L21" s="56"/>
    </x:row>
    <x:row r="22">
      <x:c r="A22" s="17" t="s">
        <x:v>30</x:v>
      </x:c>
      <x:c r="B22" s="36">
        <x:v>55000</x:v>
      </x:c>
      <x:c r="C22" s="29">
        <x:v>55000</x:v>
      </x:c>
      <x:c r="D22" s="34">
        <x:v>35500</x:v>
      </x:c>
      <x:c r="E22" s="34">
        <x:v>0</x:v>
      </x:c>
      <x:c r="F22" s="24">
        <x:v>19500</x:v>
      </x:c>
      <x:c r="G22" s="29" t="n">
        <x:f>D22+E22+F22</x:f>
        <x:v>55000</x:v>
      </x:c>
      <x:c r="H22" s="29">
        <x:f t="shared" si="1"/>
        <x:v>0</x:v>
      </x:c>
      <x:c r="I22" s="43"/>
      <x:c r="J22" s="34"/>
      <x:c r="K22" s="36"/>
      <x:c r="L22" s="56"/>
    </x:row>
    <x:row r="23">
      <x:c r="A23" s="17" t="s">
        <x:v>31</x:v>
      </x:c>
      <x:c r="B23" s="36">
        <x:v>42000</x:v>
      </x:c>
      <x:c r="C23" s="29">
        <x:v>42000</x:v>
      </x:c>
      <x:c r="D23" s="34">
        <x:v>25000</x:v>
      </x:c>
      <x:c r="E23" s="34">
        <x:v>0</x:v>
      </x:c>
      <x:c r="F23" s="24">
        <x:v>17000</x:v>
      </x:c>
      <x:c r="G23" s="29" t="n">
        <x:f>D23+E23+F23</x:f>
        <x:v>42000</x:v>
      </x:c>
      <x:c r="H23" s="29">
        <x:f t="shared" si="1"/>
        <x:v>0</x:v>
      </x:c>
      <x:c r="I23" s="43"/>
      <x:c r="J23" s="34"/>
      <x:c r="K23" s="36"/>
      <x:c r="L23" s="56"/>
    </x:row>
    <x:row r="24">
      <x:c r="A24" s="19" t="s">
        <x:v>32</x:v>
      </x:c>
      <x:c r="B24" s="38" t="n">
        <x:f t="shared" ref="B24:F24" si="6">SUM(B25:B28)</x:f>
        <x:v>154000</x:v>
      </x:c>
      <x:c r="C24" s="28" t="n">
        <x:f>SUM(C25:C28)</x:f>
        <x:v>156500</x:v>
      </x:c>
      <x:c r="D24" s="33">
        <x:f t="shared" si="6"/>
        <x:v>151500</x:v>
      </x:c>
      <x:c r="E24" s="33">
        <x:f t="shared" si="6"/>
        <x:v>0</x:v>
      </x:c>
      <x:c r="F24" s="49">
        <x:f t="shared" si="6"/>
        <x:v>2000</x:v>
      </x:c>
      <x:c r="G24" s="28" t="n">
        <x:f>SUM(G25:G28)</x:f>
        <x:v>153500</x:v>
      </x:c>
      <x:c r="H24" s="28">
        <x:f t="shared" si="1"/>
        <x:v>-3000</x:v>
      </x:c>
      <x:c r="I24" s="42"/>
      <x:c r="J24" s="33"/>
      <x:c r="K24" s="38"/>
      <x:c r="L24" s="55"/>
    </x:row>
    <x:row r="25">
      <x:c r="A25" s="17" t="s">
        <x:v>18</x:v>
      </x:c>
      <x:c r="B25" s="36">
        <x:v>8000</x:v>
      </x:c>
      <x:c r="C25" s="29">
        <x:v>10000</x:v>
      </x:c>
      <x:c r="D25" s="34">
        <x:v>9500</x:v>
      </x:c>
      <x:c r="E25" s="34">
        <x:v>0</x:v>
      </x:c>
      <x:c r="F25" s="24">
        <x:v>0</x:v>
      </x:c>
      <x:c r="G25" s="29" t="n">
        <x:f>D25+E25+F25</x:f>
        <x:v>9500</x:v>
      </x:c>
      <x:c r="H25" s="29">
        <x:f t="shared" si="1"/>
        <x:v>-500</x:v>
      </x:c>
      <x:c r="I25" s="43"/>
      <x:c r="J25" s="34"/>
      <x:c r="K25" s="36"/>
      <x:c r="L25" s="56">
        <x:v>-500</x:v>
      </x:c>
    </x:row>
    <x:row r="26">
      <x:c r="A26" s="17" t="s">
        <x:v>33</x:v>
      </x:c>
      <x:c r="B26" s="36">
        <x:v>75000</x:v>
      </x:c>
      <x:c r="C26" s="29">
        <x:v>75000</x:v>
      </x:c>
      <x:c r="D26" s="34">
        <x:v>70500</x:v>
      </x:c>
      <x:c r="E26" s="34">
        <x:v>0</x:v>
      </x:c>
      <x:c r="F26" s="24">
        <x:v>2000</x:v>
      </x:c>
      <x:c r="G26" s="29" t="n">
        <x:f>D26+E26+F26</x:f>
        <x:v>72500</x:v>
      </x:c>
      <x:c r="H26" s="29">
        <x:f t="shared" si="1"/>
        <x:v>-2500</x:v>
      </x:c>
      <x:c r="I26" s="43"/>
      <x:c r="J26" s="34"/>
      <x:c r="K26" s="36"/>
      <x:c r="L26" s="56">
        <x:v>-2500</x:v>
      </x:c>
    </x:row>
    <x:row r="27">
      <x:c r="A27" s="17" t="s">
        <x:v>34</x:v>
      </x:c>
      <x:c r="B27" s="36">
        <x:v>40500</x:v>
      </x:c>
      <x:c r="C27" s="29">
        <x:v>42000</x:v>
      </x:c>
      <x:c r="D27" s="34">
        <x:v>42000</x:v>
      </x:c>
      <x:c r="E27" s="34">
        <x:v>0</x:v>
      </x:c>
      <x:c r="F27" s="24">
        <x:v>0</x:v>
      </x:c>
      <x:c r="G27" s="29" t="n">
        <x:f>D27+E27+F27</x:f>
        <x:v>42000</x:v>
      </x:c>
      <x:c r="H27" s="29">
        <x:f t="shared" si="1"/>
        <x:v>0</x:v>
      </x:c>
      <x:c r="I27" s="43"/>
      <x:c r="J27" s="34"/>
      <x:c r="K27" s="36"/>
      <x:c r="L27" s="56"/>
    </x:row>
    <x:row r="28">
      <x:c r="A28" s="17" t="s">
        <x:v>35</x:v>
      </x:c>
      <x:c r="B28" s="36">
        <x:v>30500</x:v>
      </x:c>
      <x:c r="C28" s="29">
        <x:v>29500</x:v>
      </x:c>
      <x:c r="D28" s="34">
        <x:v>29500</x:v>
      </x:c>
      <x:c r="E28" s="34">
        <x:v>0</x:v>
      </x:c>
      <x:c r="F28" s="24">
        <x:v>0</x:v>
      </x:c>
      <x:c r="G28" s="29" t="n">
        <x:f>D28+E28+F28</x:f>
        <x:v>29500</x:v>
      </x:c>
      <x:c r="H28" s="29">
        <x:f t="shared" si="1"/>
        <x:v>0</x:v>
      </x:c>
      <x:c r="I28" s="43"/>
      <x:c r="J28" s="34"/>
      <x:c r="K28" s="36"/>
      <x:c r="L28" s="56"/>
    </x:row>
    <x:row r="29">
      <x:c r="A29" s="19" t="s">
        <x:v>36</x:v>
      </x:c>
      <x:c r="B29" s="38" t="n">
        <x:f t="shared" ref="B29:F29" si="7">SUM(B30:B39)</x:f>
        <x:v>3860550</x:v>
      </x:c>
      <x:c r="C29" s="28" t="n">
        <x:f>SUM(C30:C39)</x:f>
        <x:v>3866100</x:v>
      </x:c>
      <x:c r="D29" s="33">
        <x:f t="shared" si="7"/>
        <x:v>2321850</x:v>
      </x:c>
      <x:c r="E29" s="33">
        <x:f t="shared" si="7"/>
        <x:v>1517750</x:v>
      </x:c>
      <x:c r="F29" s="49">
        <x:f t="shared" si="7"/>
        <x:v>95500</x:v>
      </x:c>
      <x:c r="G29" s="28" t="n">
        <x:f>SUM(G30:G39)</x:f>
        <x:v>3935100</x:v>
      </x:c>
      <x:c r="H29" s="28">
        <x:f t="shared" si="1"/>
        <x:v>69000</x:v>
      </x:c>
      <x:c r="I29" s="42"/>
      <x:c r="J29" s="33"/>
      <x:c r="K29" s="38"/>
      <x:c r="L29" s="55"/>
    </x:row>
    <x:row r="30">
      <x:c r="A30" s="17" t="s">
        <x:v>37</x:v>
      </x:c>
      <x:c r="B30" s="36">
        <x:v>1550250</x:v>
      </x:c>
      <x:c r="C30" s="29">
        <x:v>1550250</x:v>
      </x:c>
      <x:c r="D30" s="34">
        <x:v>750000</x:v>
      </x:c>
      <x:c r="E30" s="34">
        <x:v>800250</x:v>
      </x:c>
      <x:c r="F30" s="24">
        <x:v>0</x:v>
      </x:c>
      <x:c r="G30" s="29" t="n">
        <x:f t="shared" ref="G30:G39" si="8">D30+E30+F30</x:f>
        <x:v>1550250</x:v>
      </x:c>
      <x:c r="H30" s="29">
        <x:f t="shared" si="1"/>
        <x:v>0</x:v>
      </x:c>
      <x:c r="I30" s="43"/>
      <x:c r="J30" s="34"/>
      <x:c r="K30" s="36"/>
      <x:c r="L30" s="56"/>
    </x:row>
    <x:row r="31">
      <x:c r="A31" s="17" t="s">
        <x:v>38</x:v>
      </x:c>
      <x:c r="B31" s="36">
        <x:v>789500</x:v>
      </x:c>
      <x:c r="C31" s="29">
        <x:v>770500</x:v>
      </x:c>
      <x:c r="D31" s="34">
        <x:v>250000</x:v>
      </x:c>
      <x:c r="E31" s="34">
        <x:v>520500</x:v>
      </x:c>
      <x:c r="F31" s="24">
        <x:v>75000</x:v>
      </x:c>
      <x:c r="G31" s="29">
        <x:f t="shared" si="8"/>
        <x:v>845500</x:v>
      </x:c>
      <x:c r="H31" s="29">
        <x:f t="shared" si="1"/>
        <x:v>75000</x:v>
      </x:c>
      <x:c r="I31" s="43">
        <x:v>75000</x:v>
      </x:c>
      <x:c r="J31" s="34"/>
      <x:c r="K31" s="36"/>
      <x:c r="L31" s="56"/>
    </x:row>
    <x:row r="32">
      <x:c r="A32" s="17" t="s">
        <x:v>39</x:v>
      </x:c>
      <x:c r="B32" s="36">
        <x:v>543200</x:v>
      </x:c>
      <x:c r="C32" s="29">
        <x:v>575000</x:v>
      </x:c>
      <x:c r="D32" s="34">
        <x:v>575000</x:v>
      </x:c>
      <x:c r="E32" s="34">
        <x:v>0</x:v>
      </x:c>
      <x:c r="F32" s="24">
        <x:v>0</x:v>
      </x:c>
      <x:c r="G32" s="29">
        <x:f t="shared" si="8"/>
        <x:v>575000</x:v>
      </x:c>
      <x:c r="H32" s="29">
        <x:f t="shared" si="1"/>
        <x:v>0</x:v>
      </x:c>
      <x:c r="I32" s="43"/>
      <x:c r="J32" s="34"/>
      <x:c r="K32" s="36"/>
      <x:c r="L32" s="56"/>
    </x:row>
    <x:row r="33">
      <x:c r="A33" s="17" t="s">
        <x:v>40</x:v>
      </x:c>
      <x:c r="B33" s="36">
        <x:v>421500</x:v>
      </x:c>
      <x:c r="C33" s="29">
        <x:v>421500</x:v>
      </x:c>
      <x:c r="D33" s="34">
        <x:v>347500</x:v>
      </x:c>
      <x:c r="E33" s="34">
        <x:v>70000</x:v>
      </x:c>
      <x:c r="F33" s="24">
        <x:v>0</x:v>
      </x:c>
      <x:c r="G33" s="29">
        <x:f t="shared" si="8"/>
        <x:v>417500</x:v>
      </x:c>
      <x:c r="H33" s="29">
        <x:f t="shared" si="1"/>
        <x:v>-4000</x:v>
      </x:c>
      <x:c r="I33" s="43"/>
      <x:c r="J33" s="34">
        <x:v>-4000</x:v>
      </x:c>
      <x:c r="K33" s="36"/>
      <x:c r="L33" s="56"/>
    </x:row>
    <x:row r="34">
      <x:c r="A34" s="17" t="s">
        <x:v>41</x:v>
      </x:c>
      <x:c r="B34" s="36">
        <x:v>226000</x:v>
      </x:c>
      <x:c r="C34" s="29">
        <x:v>222000</x:v>
      </x:c>
      <x:c r="D34" s="34">
        <x:v>185500</x:v>
      </x:c>
      <x:c r="E34" s="34">
        <x:v>36000</x:v>
      </x:c>
      <x:c r="F34" s="24">
        <x:v>500</x:v>
      </x:c>
      <x:c r="G34" s="29">
        <x:f t="shared" si="8"/>
        <x:v>222000</x:v>
      </x:c>
      <x:c r="H34" s="29">
        <x:f t="shared" si="1"/>
        <x:v>0</x:v>
      </x:c>
      <x:c r="I34" s="43"/>
      <x:c r="J34" s="34"/>
      <x:c r="K34" s="36"/>
      <x:c r="L34" s="56"/>
    </x:row>
    <x:row r="35">
      <x:c r="A35" s="17" t="s">
        <x:v>42</x:v>
      </x:c>
      <x:c r="B35" s="36">
        <x:v>125850</x:v>
      </x:c>
      <x:c r="C35" s="29">
        <x:v>125850</x:v>
      </x:c>
      <x:c r="D35" s="34">
        <x:v>125850</x:v>
      </x:c>
      <x:c r="E35" s="34">
        <x:v>0</x:v>
      </x:c>
      <x:c r="F35" s="24">
        <x:v>0</x:v>
      </x:c>
      <x:c r="G35" s="29">
        <x:f t="shared" si="8"/>
        <x:v>125850</x:v>
      </x:c>
      <x:c r="H35" s="29">
        <x:f t="shared" si="1"/>
        <x:v>0</x:v>
      </x:c>
      <x:c r="I35" s="43"/>
      <x:c r="J35" s="34"/>
      <x:c r="K35" s="36"/>
      <x:c r="L35" s="56"/>
    </x:row>
    <x:row r="36">
      <x:c r="A36" s="17" t="s">
        <x:v>43</x:v>
      </x:c>
      <x:c r="B36" s="36">
        <x:v>98500</x:v>
      </x:c>
      <x:c r="C36" s="29">
        <x:v>88500</x:v>
      </x:c>
      <x:c r="D36" s="34">
        <x:v>15000</x:v>
      </x:c>
      <x:c r="E36" s="34">
        <x:v>73500</x:v>
      </x:c>
      <x:c r="F36" s="24">
        <x:v>0</x:v>
      </x:c>
      <x:c r="G36" s="29">
        <x:f t="shared" si="8"/>
        <x:v>88500</x:v>
      </x:c>
      <x:c r="H36" s="29">
        <x:f t="shared" si="1"/>
        <x:v>0</x:v>
      </x:c>
      <x:c r="I36" s="43"/>
      <x:c r="J36" s="34"/>
      <x:c r="K36" s="36"/>
      <x:c r="L36" s="56"/>
    </x:row>
    <x:row r="37">
      <x:c r="A37" s="17" t="s">
        <x:v>44</x:v>
      </x:c>
      <x:c r="B37" s="36">
        <x:v>65750</x:v>
      </x:c>
      <x:c r="C37" s="29">
        <x:v>72500</x:v>
      </x:c>
      <x:c r="D37" s="34">
        <x:v>55000</x:v>
      </x:c>
      <x:c r="E37" s="34">
        <x:v>17500</x:v>
      </x:c>
      <x:c r="F37" s="24"/>
      <x:c r="G37" s="29">
        <x:f t="shared" si="8"/>
        <x:v>72500</x:v>
      </x:c>
      <x:c r="H37" s="29" t="n">
        <x:f t="shared" ref="H37:H55" si="9">G37-C37</x:f>
        <x:v>0</x:v>
      </x:c>
      <x:c r="I37" s="43"/>
      <x:c r="J37" s="34"/>
      <x:c r="K37" s="36"/>
      <x:c r="L37" s="56"/>
    </x:row>
    <x:row r="38">
      <x:c r="A38" s="17" t="s">
        <x:v>45</x:v>
      </x:c>
      <x:c r="B38" s="36">
        <x:v>15000</x:v>
      </x:c>
      <x:c r="C38" s="29">
        <x:v>15000</x:v>
      </x:c>
      <x:c r="D38" s="34">
        <x:v>0</x:v>
      </x:c>
      <x:c r="E38" s="34">
        <x:v>0</x:v>
      </x:c>
      <x:c r="F38" s="24">
        <x:v>15000</x:v>
      </x:c>
      <x:c r="G38" s="29">
        <x:f t="shared" si="8"/>
        <x:v>15000</x:v>
      </x:c>
      <x:c r="H38" s="29">
        <x:f t="shared" si="9"/>
        <x:v>0</x:v>
      </x:c>
      <x:c r="I38" s="43"/>
      <x:c r="J38" s="34"/>
      <x:c r="K38" s="36"/>
      <x:c r="L38" s="56"/>
    </x:row>
    <x:row r="39">
      <x:c r="A39" s="17" t="s">
        <x:v>46</x:v>
      </x:c>
      <x:c r="B39" s="36">
        <x:v>25000</x:v>
      </x:c>
      <x:c r="C39" s="29">
        <x:v>25000</x:v>
      </x:c>
      <x:c r="D39" s="34">
        <x:v>18000</x:v>
      </x:c>
      <x:c r="E39" s="34">
        <x:v>0</x:v>
      </x:c>
      <x:c r="F39" s="24">
        <x:v>5000</x:v>
      </x:c>
      <x:c r="G39" s="29">
        <x:f t="shared" si="8"/>
        <x:v>23000</x:v>
      </x:c>
      <x:c r="H39" s="29">
        <x:f t="shared" si="9"/>
        <x:v>-2000</x:v>
      </x:c>
      <x:c r="I39" s="43"/>
      <x:c r="J39" s="34">
        <x:v>-2000</x:v>
      </x:c>
      <x:c r="K39" s="36"/>
      <x:c r="L39" s="56"/>
    </x:row>
    <x:row r="40">
      <x:c r="A40" s="19" t="s">
        <x:v>47</x:v>
      </x:c>
      <x:c r="B40" s="38" t="n">
        <x:f t="shared" ref="B40:F40" si="10">SUM(B41:B46)</x:f>
        <x:v>1114680</x:v>
      </x:c>
      <x:c r="C40" s="28" t="n">
        <x:f>SUM(C41:C46)</x:f>
        <x:v>1143000</x:v>
      </x:c>
      <x:c r="D40" s="33">
        <x:f t="shared" si="10"/>
        <x:v>711450</x:v>
      </x:c>
      <x:c r="E40" s="33">
        <x:f t="shared" si="10"/>
        <x:v>400500</x:v>
      </x:c>
      <x:c r="F40" s="49">
        <x:f t="shared" si="10"/>
        <x:v>29500</x:v>
      </x:c>
      <x:c r="G40" s="28" t="n">
        <x:f>SUM(G41:G46)</x:f>
        <x:v>1141450</x:v>
      </x:c>
      <x:c r="H40" s="28">
        <x:f t="shared" si="9"/>
        <x:v>-1550</x:v>
      </x:c>
      <x:c r="I40" s="42"/>
      <x:c r="J40" s="33"/>
      <x:c r="K40" s="38"/>
      <x:c r="L40" s="55"/>
    </x:row>
    <x:row r="41">
      <x:c r="A41" s="17" t="s">
        <x:v>18</x:v>
      </x:c>
      <x:c r="B41" s="36">
        <x:v>45500</x:v>
      </x:c>
      <x:c r="C41" s="29">
        <x:v>40500</x:v>
      </x:c>
      <x:c r="D41" s="34">
        <x:v>22000</x:v>
      </x:c>
      <x:c r="E41" s="34">
        <x:v>0</x:v>
      </x:c>
      <x:c r="F41" s="24">
        <x:v>15500</x:v>
      </x:c>
      <x:c r="G41" s="29" t="n">
        <x:f t="shared" ref="G41:G46" si="11">D41+E41+F41</x:f>
        <x:v>37500</x:v>
      </x:c>
      <x:c r="H41" s="29">
        <x:f t="shared" si="9"/>
        <x:v>-3000</x:v>
      </x:c>
      <x:c r="I41" s="43"/>
      <x:c r="J41" s="34"/>
      <x:c r="K41" s="36">
        <x:v>-3000</x:v>
      </x:c>
      <x:c r="L41" s="56"/>
    </x:row>
    <x:row r="42">
      <x:c r="A42" s="17" t="s">
        <x:v>48</x:v>
      </x:c>
      <x:c r="B42" s="36">
        <x:v>35000</x:v>
      </x:c>
      <x:c r="C42" s="29">
        <x:v>28000</x:v>
      </x:c>
      <x:c r="D42" s="34">
        <x:v>18250</x:v>
      </x:c>
      <x:c r="E42" s="34">
        <x:v>0</x:v>
      </x:c>
      <x:c r="F42" s="24">
        <x:v>9000</x:v>
      </x:c>
      <x:c r="G42" s="29">
        <x:f t="shared" si="11"/>
        <x:v>27250</x:v>
      </x:c>
      <x:c r="H42" s="29">
        <x:f t="shared" si="9"/>
        <x:v>-750</x:v>
      </x:c>
      <x:c r="I42" s="43"/>
      <x:c r="J42" s="34"/>
      <x:c r="K42" s="36">
        <x:v>-750</x:v>
      </x:c>
      <x:c r="L42" s="56"/>
    </x:row>
    <x:row r="43">
      <x:c r="A43" s="17" t="s">
        <x:v>49</x:v>
      </x:c>
      <x:c r="B43" s="36">
        <x:v>15000</x:v>
      </x:c>
      <x:c r="C43" s="29">
        <x:v>15000</x:v>
      </x:c>
      <x:c r="D43" s="34">
        <x:v>12500</x:v>
      </x:c>
      <x:c r="E43" s="34">
        <x:v>0</x:v>
      </x:c>
      <x:c r="F43" s="24">
        <x:v>2500</x:v>
      </x:c>
      <x:c r="G43" s="29">
        <x:f t="shared" si="11"/>
        <x:v>15000</x:v>
      </x:c>
      <x:c r="H43" s="29">
        <x:f t="shared" si="9"/>
        <x:v>0</x:v>
      </x:c>
      <x:c r="I43" s="43"/>
      <x:c r="J43" s="34"/>
      <x:c r="K43" s="36"/>
      <x:c r="L43" s="56"/>
    </x:row>
    <x:row r="44">
      <x:c r="A44" s="17" t="s">
        <x:v>50</x:v>
      </x:c>
      <x:c r="B44" s="36">
        <x:v>450680</x:v>
      </x:c>
      <x:c r="C44" s="29">
        <x:v>485500</x:v>
      </x:c>
      <x:c r="D44" s="34">
        <x:v>250500</x:v>
      </x:c>
      <x:c r="E44" s="34">
        <x:v>250000</x:v>
      </x:c>
      <x:c r="F44" s="24">
        <x:v>0</x:v>
      </x:c>
      <x:c r="G44" s="29">
        <x:f t="shared" si="11"/>
        <x:v>500500</x:v>
      </x:c>
      <x:c r="H44" s="29">
        <x:f t="shared" si="9"/>
        <x:v>15000</x:v>
      </x:c>
      <x:c r="I44" s="43"/>
      <x:c r="J44" s="34"/>
      <x:c r="K44" s="36">
        <x:v>15000</x:v>
      </x:c>
      <x:c r="L44" s="56"/>
    </x:row>
    <x:row r="45">
      <x:c r="A45" s="17" t="s">
        <x:v>51</x:v>
      </x:c>
      <x:c r="B45" s="36">
        <x:v>348500</x:v>
      </x:c>
      <x:c r="C45" s="29">
        <x:v>348500</x:v>
      </x:c>
      <x:c r="D45" s="34">
        <x:v>198000</x:v>
      </x:c>
      <x:c r="E45" s="34">
        <x:v>150500</x:v>
      </x:c>
      <x:c r="F45" s="24">
        <x:v>0</x:v>
      </x:c>
      <x:c r="G45" s="29">
        <x:f t="shared" si="11"/>
        <x:v>348500</x:v>
      </x:c>
      <x:c r="H45" s="29">
        <x:f t="shared" si="9"/>
        <x:v>0</x:v>
      </x:c>
      <x:c r="I45" s="43"/>
      <x:c r="J45" s="34"/>
      <x:c r="K45" s="36"/>
      <x:c r="L45" s="56"/>
      <x:c r="M45" s="1"/>
    </x:row>
    <x:row r="46">
      <x:c r="A46" s="17" t="s">
        <x:v>52</x:v>
      </x:c>
      <x:c r="B46" s="36">
        <x:v>220000</x:v>
      </x:c>
      <x:c r="C46" s="29">
        <x:v>225500</x:v>
      </x:c>
      <x:c r="D46" s="34">
        <x:v>210200</x:v>
      </x:c>
      <x:c r="E46" s="34">
        <x:v>0</x:v>
      </x:c>
      <x:c r="F46" s="24">
        <x:v>2500</x:v>
      </x:c>
      <x:c r="G46" s="29">
        <x:f t="shared" si="11"/>
        <x:v>212700</x:v>
      </x:c>
      <x:c r="H46" s="29">
        <x:f t="shared" si="9"/>
        <x:v>-12800</x:v>
      </x:c>
      <x:c r="I46" s="43"/>
      <x:c r="J46" s="34"/>
      <x:c r="K46" s="36">
        <x:v>-12800</x:v>
      </x:c>
      <x:c r="L46" s="56"/>
      <x:c r="M46" s="1"/>
    </x:row>
    <x:row r="47">
      <x:c r="A47" s="19" t="s">
        <x:v>53</x:v>
      </x:c>
      <x:c r="B47" s="38" t="n">
        <x:f t="shared" ref="B47:F47" si="12">SUM(B48:B50)</x:f>
        <x:v>260300</x:v>
      </x:c>
      <x:c r="C47" s="28" t="n">
        <x:f>SUM(C48:C50)</x:f>
        <x:v>280300</x:v>
      </x:c>
      <x:c r="D47" s="33">
        <x:f t="shared" si="12"/>
        <x:v>0</x:v>
      </x:c>
      <x:c r="E47" s="33">
        <x:f t="shared" si="12"/>
        <x:v>0</x:v>
      </x:c>
      <x:c r="F47" s="49">
        <x:f t="shared" si="12"/>
        <x:v>280300</x:v>
      </x:c>
      <x:c r="G47" s="28" t="n">
        <x:f>SUM(G48:G50)</x:f>
        <x:v>280300</x:v>
      </x:c>
      <x:c r="H47" s="28">
        <x:f t="shared" si="9"/>
        <x:v>0</x:v>
      </x:c>
      <x:c r="I47" s="42"/>
      <x:c r="J47" s="33"/>
      <x:c r="K47" s="38"/>
      <x:c r="L47" s="55"/>
    </x:row>
    <x:row r="48">
      <x:c r="A48" s="17" t="s">
        <x:v>18</x:v>
      </x:c>
      <x:c r="B48" s="36">
        <x:v>25800</x:v>
      </x:c>
      <x:c r="C48" s="29">
        <x:v>25800</x:v>
      </x:c>
      <x:c r="D48" s="34">
        <x:v>0</x:v>
      </x:c>
      <x:c r="E48" s="34">
        <x:v>0</x:v>
      </x:c>
      <x:c r="F48" s="24">
        <x:v>25800</x:v>
      </x:c>
      <x:c r="G48" s="29" t="n">
        <x:f>D48+E48+F48</x:f>
        <x:v>25800</x:v>
      </x:c>
      <x:c r="H48" s="29">
        <x:f t="shared" si="9"/>
        <x:v>0</x:v>
      </x:c>
      <x:c r="I48" s="43"/>
      <x:c r="J48" s="34"/>
      <x:c r="K48" s="36"/>
      <x:c r="L48" s="56"/>
    </x:row>
    <x:row r="49">
      <x:c r="A49" s="17" t="s">
        <x:v>54</x:v>
      </x:c>
      <x:c r="B49" s="36">
        <x:v>80000</x:v>
      </x:c>
      <x:c r="C49" s="29">
        <x:v>100000</x:v>
      </x:c>
      <x:c r="D49" s="34">
        <x:v>0</x:v>
      </x:c>
      <x:c r="E49" s="34">
        <x:v>0</x:v>
      </x:c>
      <x:c r="F49" s="24">
        <x:v>100000</x:v>
      </x:c>
      <x:c r="G49" s="29" t="n">
        <x:f>D49+E49+F49</x:f>
        <x:v>100000</x:v>
      </x:c>
      <x:c r="H49" s="29">
        <x:f t="shared" si="9"/>
        <x:v>0</x:v>
      </x:c>
      <x:c r="I49" s="43"/>
      <x:c r="J49" s="34"/>
      <x:c r="K49" s="36"/>
      <x:c r="L49" s="56"/>
    </x:row>
    <x:row r="50">
      <x:c r="A50" s="17" t="s">
        <x:v>43</x:v>
      </x:c>
      <x:c r="B50" s="36">
        <x:v>154500</x:v>
      </x:c>
      <x:c r="C50" s="29">
        <x:v>154500</x:v>
      </x:c>
      <x:c r="D50" s="34">
        <x:v>0</x:v>
      </x:c>
      <x:c r="E50" s="34">
        <x:v>0</x:v>
      </x:c>
      <x:c r="F50" s="24">
        <x:v>154500</x:v>
      </x:c>
      <x:c r="G50" s="29" t="n">
        <x:f>D50+E50+F50</x:f>
        <x:v>154500</x:v>
      </x:c>
      <x:c r="H50" s="29">
        <x:f t="shared" si="9"/>
        <x:v>0</x:v>
      </x:c>
      <x:c r="I50" s="43"/>
      <x:c r="J50" s="34"/>
      <x:c r="K50" s="36"/>
      <x:c r="L50" s="56"/>
    </x:row>
    <x:row r="51">
      <x:c r="A51" s="19" t="s">
        <x:v>55</x:v>
      </x:c>
      <x:c r="B51" s="38" t="n">
        <x:f t="shared" ref="B51:F51" si="13">SUM(B52:B55)</x:f>
        <x:v>740000</x:v>
      </x:c>
      <x:c r="C51" s="28" t="n">
        <x:f>SUM(C52:C55)</x:f>
        <x:v>692500</x:v>
      </x:c>
      <x:c r="D51" s="33">
        <x:f t="shared" si="13"/>
        <x:v>17500</x:v>
      </x:c>
      <x:c r="E51" s="33">
        <x:f t="shared" si="13"/>
        <x:v>0</x:v>
      </x:c>
      <x:c r="F51" s="49">
        <x:f t="shared" si="13"/>
        <x:v>675000</x:v>
      </x:c>
      <x:c r="G51" s="28" t="n">
        <x:f>SUM(G52:G55)</x:f>
        <x:v>692500</x:v>
      </x:c>
      <x:c r="H51" s="28">
        <x:f t="shared" si="9"/>
        <x:v>0</x:v>
      </x:c>
      <x:c r="I51" s="42"/>
      <x:c r="J51" s="33"/>
      <x:c r="K51" s="38"/>
      <x:c r="L51" s="55"/>
    </x:row>
    <x:row r="52">
      <x:c r="A52" s="17" t="s">
        <x:v>56</x:v>
      </x:c>
      <x:c r="B52" s="36">
        <x:v>25000</x:v>
      </x:c>
      <x:c r="C52" s="29">
        <x:v>27500</x:v>
      </x:c>
      <x:c r="D52" s="34">
        <x:v>12000</x:v>
      </x:c>
      <x:c r="E52" s="34">
        <x:v>0</x:v>
      </x:c>
      <x:c r="F52" s="24">
        <x:v>15500</x:v>
      </x:c>
      <x:c r="G52" s="29" t="n">
        <x:f>D52+E52+F52</x:f>
        <x:v>27500</x:v>
      </x:c>
      <x:c r="H52" s="29">
        <x:f t="shared" si="9"/>
        <x:v>0</x:v>
      </x:c>
      <x:c r="I52" s="40"/>
      <x:c r="J52" s="34"/>
      <x:c r="K52" s="36"/>
      <x:c r="L52" s="56"/>
    </x:row>
    <x:row r="53">
      <x:c r="A53" s="17" t="s">
        <x:v>57</x:v>
      </x:c>
      <x:c r="B53" s="36">
        <x:v>15000</x:v>
      </x:c>
      <x:c r="C53" s="29">
        <x:v>15000</x:v>
      </x:c>
      <x:c r="D53" s="34">
        <x:v>5500</x:v>
      </x:c>
      <x:c r="E53" s="34">
        <x:v>0</x:v>
      </x:c>
      <x:c r="F53" s="24">
        <x:v>9500</x:v>
      </x:c>
      <x:c r="G53" s="29" t="n">
        <x:f>D53+E53+F53</x:f>
        <x:v>15000</x:v>
      </x:c>
      <x:c r="H53" s="29">
        <x:f t="shared" si="9"/>
        <x:v>0</x:v>
      </x:c>
      <x:c r="I53" s="43"/>
      <x:c r="J53" s="34"/>
      <x:c r="K53" s="36"/>
      <x:c r="L53" s="56"/>
    </x:row>
    <x:row r="54">
      <x:c r="A54" s="17" t="s">
        <x:v>58</x:v>
      </x:c>
      <x:c r="B54" s="36">
        <x:v>200000</x:v>
      </x:c>
      <x:c r="C54" s="29">
        <x:v>200000</x:v>
      </x:c>
      <x:c r="D54" s="34">
        <x:v>0</x:v>
      </x:c>
      <x:c r="E54" s="34">
        <x:v>0</x:v>
      </x:c>
      <x:c r="F54" s="24">
        <x:v>200000</x:v>
      </x:c>
      <x:c r="G54" s="44" t="n">
        <x:f>D54+E54+F54</x:f>
        <x:v>200000</x:v>
      </x:c>
      <x:c r="H54" s="29">
        <x:f t="shared" si="9"/>
        <x:v>0</x:v>
      </x:c>
      <x:c r="I54" s="43"/>
      <x:c r="J54" s="34"/>
      <x:c r="K54" s="36"/>
      <x:c r="L54" s="56"/>
    </x:row>
    <x:row r="55" ht="13.800000190734863">
      <x:c r="A55" s="57" t="s">
        <x:v>59</x:v>
      </x:c>
      <x:c r="B55" s="58">
        <x:v>500000</x:v>
      </x:c>
      <x:c r="C55" s="59">
        <x:v>450000</x:v>
      </x:c>
      <x:c r="D55" s="60">
        <x:v>0</x:v>
      </x:c>
      <x:c r="E55" s="60">
        <x:v>0</x:v>
      </x:c>
      <x:c r="F55" s="61">
        <x:v>450000</x:v>
      </x:c>
      <x:c r="G55" s="59" t="n">
        <x:f>D55+E55+F55</x:f>
        <x:v>450000</x:v>
      </x:c>
      <x:c r="H55" s="59">
        <x:f t="shared" si="9"/>
        <x:v>0</x:v>
      </x:c>
      <x:c r="I55" s="62"/>
      <x:c r="J55" s="60"/>
      <x:c r="K55" s="58"/>
      <x:c r="L55" s="63"/>
    </x:row>
  </x:sheetData>
  <x:mergeCells>
    <x:mergeCell ref="I1:L1"/>
  </x:mergeCells>
  <x:conditionalFormatting sqref="D4:D4">
    <x:cfRule type="expression" dxfId="14" priority="197">
      <x:formula>IF(D4&lt;C4-450,1,0)</x:formula>
    </x:cfRule>
    <x:cfRule type="expression" dxfId="13" priority="198">
      <x:formula>IF(D4&gt;C4+450,1,0)</x:formula>
    </x:cfRule>
  </x:conditionalFormatting>
  <x:conditionalFormatting sqref="K4:K4 B5:C55 B4:E4">
    <x:cfRule type="expression" priority="163" stopIfTrue="1">
      <x:formula>IF(B4="",1,0)</x:formula>
    </x:cfRule>
  </x:conditionalFormatting>
  <x:conditionalFormatting sqref="A2:A2">
    <x:cfRule type="expression" dxfId="12" priority="162">
      <x:formula>IF(A2="",0,1)</x:formula>
    </x:cfRule>
  </x:conditionalFormatting>
  <x:conditionalFormatting sqref="C5:C55">
    <x:cfRule type="expression" dxfId="11" priority="161">
      <x:formula>IF(C5&lt;0,1,0)</x:formula>
    </x:cfRule>
  </x:conditionalFormatting>
  <x:conditionalFormatting sqref="K4:K4">
    <x:cfRule type="expression" dxfId="10" priority="88">
      <x:formula>IF(K4&lt;#REF!-450,1,0)</x:formula>
    </x:cfRule>
    <x:cfRule type="expression" dxfId="9" priority="89">
      <x:formula>IF(K4&gt;#REF!+450,1,0)</x:formula>
    </x:cfRule>
  </x:conditionalFormatting>
  <x:conditionalFormatting sqref="J4:J4">
    <x:cfRule type="expression" priority="40" stopIfTrue="1">
      <x:formula>IF(J4="",1,0)</x:formula>
    </x:cfRule>
  </x:conditionalFormatting>
  <x:conditionalFormatting sqref="L4:L4">
    <x:cfRule type="expression" priority="24" stopIfTrue="1">
      <x:formula>IF(L4="",1,0)</x:formula>
    </x:cfRule>
  </x:conditionalFormatting>
  <x:conditionalFormatting sqref="L4:L4">
    <x:cfRule type="expression" priority="22" stopIfTrue="1">
      <x:formula>IF(L4="",1,0)</x:formula>
    </x:cfRule>
  </x:conditionalFormatting>
  <x:conditionalFormatting sqref="L4:L4">
    <x:cfRule type="expression" dxfId="8" priority="25">
      <x:formula>IF(L4&lt;#REF!-450,1,0)</x:formula>
    </x:cfRule>
    <x:cfRule type="expression" dxfId="7" priority="26">
      <x:formula>IF(L4&gt;#REF!+450,1,0)</x:formula>
    </x:cfRule>
  </x:conditionalFormatting>
  <x:conditionalFormatting sqref="I4:I4">
    <x:cfRule type="expression" priority="19" stopIfTrue="1">
      <x:formula>IF(I4="",1,0)</x:formula>
    </x:cfRule>
  </x:conditionalFormatting>
  <x:conditionalFormatting sqref="C4:C4">
    <x:cfRule type="expression" priority="14" stopIfTrue="1">
      <x:formula>IF(C4="",1,0)</x:formula>
    </x:cfRule>
  </x:conditionalFormatting>
  <x:conditionalFormatting sqref="F4:F4">
    <x:cfRule type="expression" priority="10" stopIfTrue="1">
      <x:formula>IF(F4="",1,0)</x:formula>
    </x:cfRule>
  </x:conditionalFormatting>
  <x:conditionalFormatting sqref="F4:F4">
    <x:cfRule type="expression" dxfId="6" priority="11">
      <x:formula>IF(F4&lt;#REF!-450,1,0)</x:formula>
    </x:cfRule>
    <x:cfRule type="expression" dxfId="5" priority="12">
      <x:formula>IF(F4&gt;#REF!+450,1,0)</x:formula>
    </x:cfRule>
  </x:conditionalFormatting>
  <x:conditionalFormatting sqref="G4:G4">
    <x:cfRule type="expression" priority="7" stopIfTrue="1">
      <x:formula>IF(G4="",1,0)</x:formula>
    </x:cfRule>
  </x:conditionalFormatting>
  <x:conditionalFormatting sqref="G4:G4">
    <x:cfRule type="expression" dxfId="4" priority="8">
      <x:formula>IF(G4&lt;#REF!-450,1,0)</x:formula>
    </x:cfRule>
    <x:cfRule type="expression" dxfId="3" priority="9">
      <x:formula>IF(G4&gt;#REF!+450,1,0)</x:formula>
    </x:cfRule>
  </x:conditionalFormatting>
  <x:conditionalFormatting sqref="H4:H4">
    <x:cfRule type="expression" priority="2" stopIfTrue="1">
      <x:formula>IF(H4="",1,0)</x:formula>
    </x:cfRule>
  </x:conditionalFormatting>
  <x:conditionalFormatting sqref="H4:H4">
    <x:cfRule type="expression" priority="3" stopIfTrue="1">
      <x:formula>IF(H4="",1,0)</x:formula>
    </x:cfRule>
  </x:conditionalFormatting>
  <x:conditionalFormatting sqref="E4:E4">
    <x:cfRule type="expression" dxfId="2" priority="332">
      <x:formula>IF(E4&lt;C4-450,1,0)</x:formula>
    </x:cfRule>
    <x:cfRule type="expression" dxfId="1" priority="333">
      <x:formula>IF(E4&gt;C4+450,1,0)</x:formula>
    </x:cfRule>
  </x:conditionalFormatting>
  <x:conditionalFormatting sqref="H4:H55">
    <x:cfRule type="cellIs" dxfId="0"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FormatPr baseColWidth="10" defaultRowHeight="13.199999809265137"/>
  <x:sheetData>
    <x:row r="1">
      <x:c r="A1" s="67" t="s">
        <x:v>60</x:v>
      </x:c>
      <x:c r="B1" s="67"/>
      <x:c r="C1" s="67"/>
      <x:c r="D1" s="67"/>
      <x:c r="E1" s="67"/>
      <x:c r="F1" s="67"/>
      <x:c r="G1" s="67"/>
      <x:c r="H1" s="67"/>
      <x:c r="I1" s="67"/>
      <x:c r="J1" s="67"/>
      <x:c r="K1" s="67"/>
      <x:c r="L1" s="67"/>
      <x:c r="M1" s="67"/>
      <x:c r="N1" s="67"/>
      <x:c r="O1" s="67"/>
      <x:c r="P1" s="67"/>
      <x:c r="Q1" s="67"/>
      <x:c r="R1" s="67"/>
      <x:c r="S1" s="67"/>
      <x:c r="T1" s="67"/>
      <x:c r="U1" s="67"/>
      <x:c r="V1" s="67"/>
      <x:c r="W1" s="67"/>
      <x:c r="X1" s="67"/>
      <x:c r="Y1" s="67"/>
      <x:c r="Z1" s="67"/>
      <x:c r="AA1" s="67"/>
      <x:c r="AB1" s="67"/>
      <x:c r="AC1" s="67"/>
      <x:c r="AD1" s="67"/>
      <x:c r="AE1" s="67"/>
      <x:c r="AF1" s="67"/>
      <x:c r="AG1" s="67"/>
      <x:c r="AH1" s="67"/>
      <x:c r="AI1" s="67"/>
      <x:c r="AJ1" s="67"/>
      <x:c r="AK1" s="67"/>
      <x:c r="AL1" s="67"/>
      <x:c r="AM1" s="67"/>
      <x:c r="AN1" s="67"/>
      <x:c r="AO1" s="67"/>
      <x:c r="AP1" s="67"/>
      <x:c r="AQ1" s="67"/>
      <x:c r="AR1" s="67"/>
      <x:c r="AS1" s="67"/>
      <x:c r="AT1" s="67"/>
      <x:c r="AU1" s="67"/>
      <x:c r="AV1" s="67"/>
      <x:c r="AW1" s="67"/>
      <x:c r="AX1" s="67"/>
    </x:row>
    <x:row r="2">
      <x:c r="A2" s="67"/>
      <x:c r="B2" s="67"/>
      <x:c r="C2" s="67"/>
      <x:c r="D2" s="67"/>
      <x:c r="E2" s="67"/>
      <x:c r="F2" s="67"/>
      <x:c r="G2" s="67"/>
      <x:c r="H2" s="67"/>
      <x:c r="I2" s="67"/>
      <x:c r="J2" s="67"/>
      <x:c r="K2" s="67"/>
      <x:c r="L2" s="67"/>
      <x:c r="M2" s="67"/>
      <x:c r="N2" s="67"/>
      <x:c r="O2" s="67"/>
      <x:c r="P2" s="67"/>
      <x:c r="Q2" s="67"/>
      <x:c r="R2" s="67"/>
      <x:c r="S2" s="67"/>
      <x:c r="T2" s="67"/>
      <x:c r="U2" s="67"/>
      <x:c r="V2" s="67"/>
      <x:c r="W2" s="67"/>
      <x:c r="X2" s="67"/>
      <x:c r="Y2" s="67"/>
      <x:c r="Z2" s="67"/>
      <x:c r="AA2" s="67"/>
      <x:c r="AB2" s="67"/>
      <x:c r="AC2" s="67"/>
      <x:c r="AD2" s="67"/>
      <x:c r="AE2" s="67"/>
      <x:c r="AF2" s="67"/>
      <x:c r="AG2" s="67"/>
      <x:c r="AH2" s="67"/>
      <x:c r="AI2" s="67"/>
      <x:c r="AJ2" s="67"/>
      <x:c r="AK2" s="67"/>
      <x:c r="AL2" s="67"/>
      <x:c r="AM2" s="67"/>
      <x:c r="AN2" s="67"/>
      <x:c r="AO2" s="67"/>
      <x:c r="AP2" s="67"/>
      <x:c r="AQ2" s="67"/>
      <x:c r="AR2" s="67"/>
      <x:c r="AS2" s="67"/>
      <x:c r="AT2" s="67"/>
      <x:c r="AU2" s="67"/>
      <x:c r="AV2" s="67"/>
      <x:c r="AW2" s="67"/>
      <x:c r="AX2" s="67"/>
    </x:row>
    <x:row r="3">
      <x:c r="A3" s="67"/>
      <x:c r="B3" s="67"/>
      <x:c r="C3" s="67"/>
      <x:c r="D3" s="67"/>
      <x:c r="E3" s="67"/>
      <x:c r="F3" s="67"/>
      <x:c r="G3" s="67"/>
      <x:c r="H3" s="67"/>
      <x:c r="I3" s="67"/>
      <x:c r="J3" s="67"/>
      <x:c r="K3" s="67"/>
      <x:c r="L3" s="67"/>
      <x:c r="M3" s="67"/>
      <x:c r="N3" s="67"/>
      <x:c r="O3" s="67"/>
      <x:c r="P3" s="67"/>
      <x:c r="Q3" s="67"/>
      <x:c r="R3" s="67"/>
      <x:c r="S3" s="67"/>
      <x:c r="T3" s="67"/>
      <x:c r="U3" s="67"/>
      <x:c r="V3" s="67"/>
      <x:c r="W3" s="67"/>
      <x:c r="X3" s="67"/>
      <x:c r="Y3" s="67"/>
      <x:c r="Z3" s="67"/>
      <x:c r="AA3" s="67"/>
      <x:c r="AB3" s="67"/>
      <x:c r="AC3" s="67"/>
      <x:c r="AD3" s="67"/>
      <x:c r="AE3" s="67"/>
      <x:c r="AF3" s="67"/>
      <x:c r="AG3" s="67"/>
      <x:c r="AH3" s="67"/>
      <x:c r="AI3" s="67"/>
      <x:c r="AJ3" s="67"/>
      <x:c r="AK3" s="67"/>
      <x:c r="AL3" s="67"/>
      <x:c r="AM3" s="67"/>
      <x:c r="AN3" s="67"/>
      <x:c r="AO3" s="67"/>
      <x:c r="AP3" s="67"/>
      <x:c r="AQ3" s="67"/>
      <x:c r="AR3" s="67"/>
      <x:c r="AS3" s="67"/>
      <x:c r="AT3" s="67"/>
      <x:c r="AU3" s="67"/>
      <x:c r="AV3" s="67"/>
      <x:c r="AW3" s="67"/>
      <x:c r="AX3" s="67"/>
    </x:row>
    <x:row r="4">
      <x:c r="A4" s="67"/>
      <x:c r="B4" s="67"/>
      <x:c r="C4" s="67"/>
      <x:c r="D4" s="67"/>
      <x:c r="E4" s="67"/>
      <x:c r="F4" s="67"/>
      <x:c r="G4" s="67"/>
      <x:c r="H4" s="67"/>
      <x:c r="I4" s="67"/>
      <x:c r="J4" s="67"/>
      <x:c r="K4" s="67"/>
      <x:c r="L4" s="67"/>
      <x:c r="M4" s="67"/>
      <x:c r="N4" s="67"/>
      <x:c r="O4" s="67"/>
      <x:c r="P4" s="67"/>
      <x:c r="Q4" s="67"/>
      <x:c r="R4" s="67"/>
      <x:c r="S4" s="67"/>
      <x:c r="T4" s="67"/>
      <x:c r="U4" s="67"/>
      <x:c r="V4" s="67"/>
      <x:c r="W4" s="67"/>
      <x:c r="X4" s="67"/>
      <x:c r="Y4" s="67"/>
      <x:c r="Z4" s="67"/>
      <x:c r="AA4" s="67"/>
      <x:c r="AB4" s="67"/>
      <x:c r="AC4" s="67"/>
      <x:c r="AD4" s="67"/>
      <x:c r="AE4" s="67"/>
      <x:c r="AF4" s="67"/>
      <x:c r="AG4" s="67"/>
      <x:c r="AH4" s="67"/>
      <x:c r="AI4" s="67"/>
      <x:c r="AJ4" s="67"/>
      <x:c r="AK4" s="67"/>
      <x:c r="AL4" s="67"/>
      <x:c r="AM4" s="67"/>
      <x:c r="AN4" s="67"/>
      <x:c r="AO4" s="67"/>
      <x:c r="AP4" s="67"/>
      <x:c r="AQ4" s="67"/>
      <x:c r="AR4" s="67"/>
      <x:c r="AS4" s="67"/>
      <x:c r="AT4" s="67"/>
      <x:c r="AU4" s="67"/>
      <x:c r="AV4" s="67"/>
      <x:c r="AW4" s="67"/>
      <x:c r="AX4" s="67"/>
    </x:row>
    <x:row r="5">
      <x:c r="A5" s="67"/>
      <x:c r="B5" s="67"/>
      <x:c r="C5" s="67"/>
      <x:c r="D5" s="67"/>
      <x:c r="E5" s="67"/>
      <x:c r="F5" s="67"/>
      <x:c r="G5" s="67"/>
      <x:c r="H5" s="67"/>
      <x:c r="I5" s="67"/>
      <x:c r="J5" s="67"/>
      <x:c r="K5" s="67"/>
      <x:c r="L5" s="67"/>
      <x:c r="M5" s="67"/>
      <x:c r="N5" s="67"/>
      <x:c r="O5" s="67"/>
      <x:c r="P5" s="67"/>
      <x:c r="Q5" s="67"/>
      <x:c r="R5" s="67"/>
      <x:c r="S5" s="67"/>
      <x:c r="T5" s="67"/>
      <x:c r="U5" s="67"/>
      <x:c r="V5" s="67"/>
      <x:c r="W5" s="67"/>
      <x:c r="X5" s="67"/>
      <x:c r="Y5" s="67"/>
      <x:c r="Z5" s="67"/>
      <x:c r="AA5" s="67"/>
      <x:c r="AB5" s="67"/>
      <x:c r="AC5" s="67"/>
      <x:c r="AD5" s="67"/>
      <x:c r="AE5" s="67"/>
      <x:c r="AF5" s="67"/>
      <x:c r="AG5" s="67"/>
      <x:c r="AH5" s="67"/>
      <x:c r="AI5" s="67"/>
      <x:c r="AJ5" s="67"/>
      <x:c r="AK5" s="67"/>
      <x:c r="AL5" s="67"/>
      <x:c r="AM5" s="67"/>
      <x:c r="AN5" s="67"/>
      <x:c r="AO5" s="67"/>
      <x:c r="AP5" s="67"/>
      <x:c r="AQ5" s="67"/>
      <x:c r="AR5" s="67"/>
      <x:c r="AS5" s="67"/>
      <x:c r="AT5" s="67"/>
      <x:c r="AU5" s="67"/>
      <x:c r="AV5" s="67"/>
      <x:c r="AW5" s="67"/>
      <x:c r="AX5" s="67"/>
    </x:row>
    <x:row r="6">
      <x:c r="A6" s="67"/>
      <x:c r="B6" s="67"/>
      <x:c r="C6" s="67"/>
      <x:c r="D6" s="67"/>
      <x:c r="E6" s="67"/>
      <x:c r="F6" s="67"/>
      <x:c r="G6" s="67"/>
      <x:c r="H6" s="67"/>
      <x:c r="I6" s="67"/>
      <x:c r="J6" s="67"/>
      <x:c r="K6" s="67"/>
      <x:c r="L6" s="67"/>
      <x:c r="M6" s="67"/>
      <x:c r="N6" s="67"/>
      <x:c r="O6" s="67"/>
      <x:c r="P6" s="67"/>
      <x:c r="Q6" s="67"/>
      <x:c r="R6" s="67"/>
      <x:c r="S6" s="67"/>
      <x:c r="T6" s="67"/>
      <x:c r="U6" s="67"/>
      <x:c r="V6" s="67"/>
      <x:c r="W6" s="67"/>
      <x:c r="X6" s="67"/>
      <x:c r="Y6" s="67"/>
      <x:c r="Z6" s="67"/>
      <x:c r="AA6" s="67"/>
      <x:c r="AB6" s="67"/>
      <x:c r="AC6" s="67"/>
      <x:c r="AD6" s="67"/>
      <x:c r="AE6" s="67"/>
      <x:c r="AF6" s="67"/>
      <x:c r="AG6" s="67"/>
      <x:c r="AH6" s="67"/>
      <x:c r="AI6" s="67"/>
      <x:c r="AJ6" s="67"/>
      <x:c r="AK6" s="67"/>
      <x:c r="AL6" s="67"/>
      <x:c r="AM6" s="67"/>
      <x:c r="AN6" s="67"/>
      <x:c r="AO6" s="67"/>
      <x:c r="AP6" s="67"/>
      <x:c r="AQ6" s="67"/>
      <x:c r="AR6" s="67"/>
      <x:c r="AS6" s="67"/>
      <x:c r="AT6" s="67"/>
      <x:c r="AU6" s="67"/>
      <x:c r="AV6" s="67"/>
      <x:c r="AW6" s="67"/>
      <x:c r="AX6" s="67"/>
    </x:row>
    <x:row r="7">
      <x:c r="A7" s="67"/>
      <x:c r="B7" s="67"/>
      <x:c r="C7" s="67"/>
      <x:c r="D7" s="67"/>
      <x:c r="E7" s="67"/>
      <x:c r="F7" s="67"/>
      <x:c r="G7" s="67"/>
      <x:c r="H7" s="67"/>
      <x:c r="I7" s="67"/>
      <x:c r="J7" s="67"/>
      <x:c r="K7" s="67"/>
      <x:c r="L7" s="67"/>
      <x:c r="M7" s="67"/>
      <x:c r="N7" s="67"/>
      <x:c r="O7" s="67"/>
      <x:c r="P7" s="67"/>
      <x:c r="Q7" s="67"/>
      <x:c r="R7" s="67"/>
      <x:c r="S7" s="67"/>
      <x:c r="T7" s="67"/>
      <x:c r="U7" s="67"/>
      <x:c r="V7" s="67"/>
      <x:c r="W7" s="67"/>
      <x:c r="X7" s="67"/>
      <x:c r="Y7" s="67"/>
      <x:c r="Z7" s="67"/>
      <x:c r="AA7" s="67"/>
      <x:c r="AB7" s="67"/>
      <x:c r="AC7" s="67"/>
      <x:c r="AD7" s="67"/>
      <x:c r="AE7" s="67"/>
      <x:c r="AF7" s="67"/>
      <x:c r="AG7" s="67"/>
      <x:c r="AH7" s="67"/>
      <x:c r="AI7" s="67"/>
      <x:c r="AJ7" s="67"/>
      <x:c r="AK7" s="67"/>
      <x:c r="AL7" s="67"/>
      <x:c r="AM7" s="67"/>
      <x:c r="AN7" s="67"/>
      <x:c r="AO7" s="67"/>
      <x:c r="AP7" s="67"/>
      <x:c r="AQ7" s="67"/>
      <x:c r="AR7" s="67"/>
      <x:c r="AS7" s="67"/>
      <x:c r="AT7" s="67"/>
      <x:c r="AU7" s="67"/>
      <x:c r="AV7" s="67"/>
      <x:c r="AW7" s="67"/>
      <x:c r="AX7" s="67"/>
    </x:row>
    <x:row r="8">
      <x:c r="A8" s="67"/>
      <x:c r="B8" s="67"/>
      <x:c r="C8" s="67"/>
      <x:c r="D8" s="67"/>
      <x:c r="E8" s="67"/>
      <x:c r="F8" s="67"/>
      <x:c r="G8" s="67"/>
      <x:c r="H8" s="67"/>
      <x:c r="I8" s="67"/>
      <x:c r="J8" s="67"/>
      <x:c r="K8" s="67"/>
      <x:c r="L8" s="67"/>
      <x:c r="M8" s="67"/>
      <x:c r="N8" s="67"/>
      <x:c r="O8" s="67"/>
      <x:c r="P8" s="67"/>
      <x:c r="Q8" s="67"/>
      <x:c r="R8" s="67"/>
      <x:c r="S8" s="67"/>
      <x:c r="T8" s="67"/>
      <x:c r="U8" s="67"/>
      <x:c r="V8" s="67"/>
      <x:c r="W8" s="67"/>
      <x:c r="X8" s="67"/>
      <x:c r="Y8" s="67"/>
      <x:c r="Z8" s="67"/>
      <x:c r="AA8" s="67"/>
      <x:c r="AB8" s="67"/>
      <x:c r="AC8" s="67"/>
      <x:c r="AD8" s="67"/>
      <x:c r="AE8" s="67"/>
      <x:c r="AF8" s="67"/>
      <x:c r="AG8" s="67"/>
      <x:c r="AH8" s="67"/>
      <x:c r="AI8" s="67"/>
      <x:c r="AJ8" s="67"/>
      <x:c r="AK8" s="67"/>
      <x:c r="AL8" s="67"/>
      <x:c r="AM8" s="67"/>
      <x:c r="AN8" s="67"/>
      <x:c r="AO8" s="67"/>
      <x:c r="AP8" s="67"/>
      <x:c r="AQ8" s="67"/>
      <x:c r="AR8" s="67"/>
      <x:c r="AS8" s="67"/>
      <x:c r="AT8" s="67"/>
      <x:c r="AU8" s="67"/>
      <x:c r="AV8" s="67"/>
      <x:c r="AW8" s="67"/>
      <x:c r="AX8" s="67"/>
    </x:row>
    <x:row r="9">
      <x:c r="A9" s="67"/>
      <x:c r="B9" s="67"/>
      <x:c r="C9" s="67"/>
      <x:c r="D9" s="67"/>
      <x:c r="E9" s="67"/>
      <x:c r="F9" s="67"/>
      <x:c r="G9" s="67"/>
      <x:c r="H9" s="67"/>
      <x:c r="I9" s="67"/>
      <x:c r="J9" s="67"/>
      <x:c r="K9" s="67"/>
      <x:c r="L9" s="67"/>
      <x:c r="M9" s="67"/>
      <x:c r="N9" s="67"/>
      <x:c r="O9" s="67"/>
      <x:c r="P9" s="67"/>
      <x:c r="Q9" s="67"/>
      <x:c r="R9" s="67"/>
      <x:c r="S9" s="67"/>
      <x:c r="T9" s="67"/>
      <x:c r="U9" s="67"/>
      <x:c r="V9" s="67"/>
      <x:c r="W9" s="67"/>
      <x:c r="X9" s="67"/>
      <x:c r="Y9" s="67"/>
      <x:c r="Z9" s="67"/>
      <x:c r="AA9" s="67"/>
      <x:c r="AB9" s="67"/>
      <x:c r="AC9" s="67"/>
      <x:c r="AD9" s="67"/>
      <x:c r="AE9" s="67"/>
      <x:c r="AF9" s="67"/>
      <x:c r="AG9" s="67"/>
      <x:c r="AH9" s="67"/>
      <x:c r="AI9" s="67"/>
      <x:c r="AJ9" s="67"/>
      <x:c r="AK9" s="67"/>
      <x:c r="AL9" s="67"/>
      <x:c r="AM9" s="67"/>
      <x:c r="AN9" s="67"/>
      <x:c r="AO9" s="67"/>
      <x:c r="AP9" s="67"/>
      <x:c r="AQ9" s="67"/>
      <x:c r="AR9" s="67"/>
      <x:c r="AS9" s="67"/>
      <x:c r="AT9" s="67"/>
      <x:c r="AU9" s="67"/>
      <x:c r="AV9" s="67"/>
      <x:c r="AW9" s="67"/>
      <x:c r="AX9" s="67"/>
    </x:row>
    <x:row r="10">
      <x:c r="A10" s="67"/>
      <x:c r="B10" s="67"/>
      <x:c r="C10" s="67"/>
      <x:c r="D10" s="67"/>
      <x:c r="E10" s="67"/>
      <x:c r="F10" s="67"/>
      <x:c r="G10" s="67"/>
      <x:c r="H10" s="67"/>
      <x:c r="I10" s="67"/>
      <x:c r="J10" s="67"/>
      <x:c r="K10" s="67"/>
      <x:c r="L10" s="67"/>
      <x:c r="M10" s="67"/>
      <x:c r="N10" s="67"/>
      <x:c r="O10" s="67"/>
      <x:c r="P10" s="67"/>
      <x:c r="Q10" s="67"/>
      <x:c r="R10" s="67"/>
      <x:c r="S10" s="67"/>
      <x:c r="T10" s="67"/>
      <x:c r="U10" s="67"/>
      <x:c r="V10" s="67"/>
      <x:c r="W10" s="67"/>
      <x:c r="X10" s="67"/>
      <x:c r="Y10" s="67"/>
      <x:c r="Z10" s="67"/>
      <x:c r="AA10" s="67"/>
      <x:c r="AB10" s="67"/>
      <x:c r="AC10" s="67"/>
      <x:c r="AD10" s="67"/>
      <x:c r="AE10" s="67"/>
      <x:c r="AF10" s="67"/>
      <x:c r="AG10" s="67"/>
      <x:c r="AH10" s="67"/>
      <x:c r="AI10" s="67"/>
      <x:c r="AJ10" s="67"/>
      <x:c r="AK10" s="67"/>
      <x:c r="AL10" s="67"/>
      <x:c r="AM10" s="67"/>
      <x:c r="AN10" s="67"/>
      <x:c r="AO10" s="67"/>
      <x:c r="AP10" s="67"/>
      <x:c r="AQ10" s="67"/>
      <x:c r="AR10" s="67"/>
      <x:c r="AS10" s="67"/>
      <x:c r="AT10" s="67"/>
      <x:c r="AU10" s="67"/>
      <x:c r="AV10" s="67"/>
      <x:c r="AW10" s="67"/>
      <x:c r="AX10" s="67"/>
    </x:row>
    <x:row r="11">
      <x:c r="A11" s="67"/>
      <x:c r="B11" s="67"/>
      <x:c r="C11" s="67"/>
      <x:c r="D11" s="67"/>
      <x:c r="E11" s="67"/>
      <x:c r="F11" s="67"/>
      <x:c r="G11" s="67"/>
      <x:c r="H11" s="67"/>
      <x:c r="I11" s="67"/>
      <x:c r="J11" s="67"/>
      <x:c r="K11" s="67"/>
      <x:c r="L11" s="67"/>
      <x:c r="M11" s="67"/>
      <x:c r="N11" s="67"/>
      <x:c r="O11" s="67"/>
      <x:c r="P11" s="67"/>
      <x:c r="Q11" s="67"/>
      <x:c r="R11" s="67"/>
      <x:c r="S11" s="67"/>
      <x:c r="T11" s="67"/>
      <x:c r="U11" s="67"/>
      <x:c r="V11" s="67"/>
      <x:c r="W11" s="67"/>
      <x:c r="X11" s="67"/>
      <x:c r="Y11" s="67"/>
      <x:c r="Z11" s="67"/>
      <x:c r="AA11" s="67"/>
      <x:c r="AB11" s="67"/>
      <x:c r="AC11" s="67"/>
      <x:c r="AD11" s="67"/>
      <x:c r="AE11" s="67"/>
      <x:c r="AF11" s="67"/>
      <x:c r="AG11" s="67"/>
      <x:c r="AH11" s="67"/>
      <x:c r="AI11" s="67"/>
      <x:c r="AJ11" s="67"/>
      <x:c r="AK11" s="67"/>
      <x:c r="AL11" s="67"/>
      <x:c r="AM11" s="67"/>
      <x:c r="AN11" s="67"/>
      <x:c r="AO11" s="67"/>
      <x:c r="AP11" s="67"/>
      <x:c r="AQ11" s="67"/>
      <x:c r="AR11" s="67"/>
      <x:c r="AS11" s="67"/>
      <x:c r="AT11" s="67"/>
      <x:c r="AU11" s="67"/>
      <x:c r="AV11" s="67"/>
      <x:c r="AW11" s="67"/>
      <x:c r="AX11" s="67"/>
    </x:row>
    <x:row r="12">
      <x:c r="A12" s="67"/>
      <x:c r="B12" s="67"/>
      <x:c r="C12" s="67"/>
      <x:c r="D12" s="67"/>
      <x:c r="E12" s="67"/>
      <x:c r="F12" s="67"/>
      <x:c r="G12" s="67"/>
      <x:c r="H12" s="67"/>
      <x:c r="I12" s="67"/>
      <x:c r="J12" s="67"/>
      <x:c r="K12" s="67"/>
      <x:c r="L12" s="67"/>
      <x:c r="M12" s="67"/>
      <x:c r="N12" s="67"/>
      <x:c r="O12" s="67"/>
      <x:c r="P12" s="67"/>
      <x:c r="Q12" s="67"/>
      <x:c r="R12" s="67"/>
      <x:c r="S12" s="67"/>
      <x:c r="T12" s="67"/>
      <x:c r="U12" s="67"/>
      <x:c r="V12" s="67"/>
      <x:c r="W12" s="67"/>
      <x:c r="X12" s="67"/>
      <x:c r="Y12" s="67"/>
      <x:c r="Z12" s="67"/>
      <x:c r="AA12" s="67"/>
      <x:c r="AB12" s="67"/>
      <x:c r="AC12" s="67"/>
      <x:c r="AD12" s="67"/>
      <x:c r="AE12" s="67"/>
      <x:c r="AF12" s="67"/>
      <x:c r="AG12" s="67"/>
      <x:c r="AH12" s="67"/>
      <x:c r="AI12" s="67"/>
      <x:c r="AJ12" s="67"/>
      <x:c r="AK12" s="67"/>
      <x:c r="AL12" s="67"/>
      <x:c r="AM12" s="67"/>
      <x:c r="AN12" s="67"/>
      <x:c r="AO12" s="67"/>
      <x:c r="AP12" s="67"/>
      <x:c r="AQ12" s="67"/>
      <x:c r="AR12" s="67"/>
      <x:c r="AS12" s="67"/>
      <x:c r="AT12" s="67"/>
      <x:c r="AU12" s="67"/>
      <x:c r="AV12" s="67"/>
      <x:c r="AW12" s="67"/>
      <x:c r="AX12" s="67"/>
    </x:row>
    <x:row r="13">
      <x:c r="A13" s="67"/>
      <x:c r="B13" s="67"/>
      <x:c r="C13" s="67"/>
      <x:c r="D13" s="67"/>
      <x:c r="E13" s="67"/>
      <x:c r="F13" s="67"/>
      <x:c r="G13" s="67"/>
      <x:c r="H13" s="67"/>
      <x:c r="I13" s="67"/>
      <x:c r="J13" s="67"/>
      <x:c r="K13" s="67"/>
      <x:c r="L13" s="67"/>
      <x:c r="M13" s="67"/>
      <x:c r="N13" s="67"/>
      <x:c r="O13" s="67"/>
      <x:c r="P13" s="67"/>
      <x:c r="Q13" s="67"/>
      <x:c r="R13" s="67"/>
      <x:c r="S13" s="67"/>
      <x:c r="T13" s="67"/>
      <x:c r="U13" s="67"/>
      <x:c r="V13" s="67"/>
      <x:c r="W13" s="67"/>
      <x:c r="X13" s="67"/>
      <x:c r="Y13" s="67"/>
      <x:c r="Z13" s="67"/>
      <x:c r="AA13" s="67"/>
      <x:c r="AB13" s="67"/>
      <x:c r="AC13" s="67"/>
      <x:c r="AD13" s="67"/>
      <x:c r="AE13" s="67"/>
      <x:c r="AF13" s="67"/>
      <x:c r="AG13" s="67"/>
      <x:c r="AH13" s="67"/>
      <x:c r="AI13" s="67"/>
      <x:c r="AJ13" s="67"/>
      <x:c r="AK13" s="67"/>
      <x:c r="AL13" s="67"/>
      <x:c r="AM13" s="67"/>
      <x:c r="AN13" s="67"/>
      <x:c r="AO13" s="67"/>
      <x:c r="AP13" s="67"/>
      <x:c r="AQ13" s="67"/>
      <x:c r="AR13" s="67"/>
      <x:c r="AS13" s="67"/>
      <x:c r="AT13" s="67"/>
      <x:c r="AU13" s="67"/>
      <x:c r="AV13" s="67"/>
      <x:c r="AW13" s="67"/>
      <x:c r="AX13" s="67"/>
    </x:row>
    <x:row r="14">
      <x:c r="A14" s="67"/>
      <x:c r="B14" s="67"/>
      <x:c r="C14" s="67"/>
      <x:c r="D14" s="67"/>
      <x:c r="E14" s="67"/>
      <x:c r="F14" s="67"/>
      <x:c r="G14" s="67"/>
      <x:c r="H14" s="67"/>
      <x:c r="I14" s="67"/>
      <x:c r="J14" s="67"/>
      <x:c r="K14" s="67"/>
      <x:c r="L14" s="67"/>
      <x:c r="M14" s="67"/>
      <x:c r="N14" s="67"/>
      <x:c r="O14" s="67"/>
      <x:c r="P14" s="67"/>
      <x:c r="Q14" s="67"/>
      <x:c r="R14" s="67"/>
      <x:c r="S14" s="67"/>
      <x:c r="T14" s="67"/>
      <x:c r="U14" s="67"/>
      <x:c r="V14" s="67"/>
      <x:c r="W14" s="67"/>
      <x:c r="X14" s="67"/>
      <x:c r="Y14" s="67"/>
      <x:c r="Z14" s="67"/>
      <x:c r="AA14" s="67"/>
      <x:c r="AB14" s="67"/>
      <x:c r="AC14" s="67"/>
      <x:c r="AD14" s="67"/>
      <x:c r="AE14" s="67"/>
      <x:c r="AF14" s="67"/>
      <x:c r="AG14" s="67"/>
      <x:c r="AH14" s="67"/>
      <x:c r="AI14" s="67"/>
      <x:c r="AJ14" s="67"/>
      <x:c r="AK14" s="67"/>
      <x:c r="AL14" s="67"/>
      <x:c r="AM14" s="67"/>
      <x:c r="AN14" s="67"/>
      <x:c r="AO14" s="67"/>
      <x:c r="AP14" s="67"/>
      <x:c r="AQ14" s="67"/>
      <x:c r="AR14" s="67"/>
      <x:c r="AS14" s="67"/>
      <x:c r="AT14" s="67"/>
      <x:c r="AU14" s="67"/>
      <x:c r="AV14" s="67"/>
      <x:c r="AW14" s="67"/>
      <x:c r="AX14" s="67"/>
    </x:row>
    <x:row r="15">
      <x:c r="A15" s="67"/>
      <x:c r="B15" s="67"/>
      <x:c r="C15" s="67"/>
      <x:c r="D15" s="67"/>
      <x:c r="E15" s="67"/>
      <x:c r="F15" s="67"/>
      <x:c r="G15" s="67"/>
      <x:c r="H15" s="67"/>
      <x:c r="I15" s="67"/>
      <x:c r="J15" s="67"/>
      <x:c r="K15" s="67"/>
      <x:c r="L15" s="67"/>
      <x:c r="M15" s="67"/>
      <x:c r="N15" s="67"/>
      <x:c r="O15" s="67"/>
      <x:c r="P15" s="67"/>
      <x:c r="Q15" s="67"/>
      <x:c r="R15" s="67"/>
      <x:c r="S15" s="67"/>
      <x:c r="T15" s="67"/>
      <x:c r="U15" s="67"/>
      <x:c r="V15" s="67"/>
      <x:c r="W15" s="67"/>
      <x:c r="X15" s="67"/>
      <x:c r="Y15" s="67"/>
      <x:c r="Z15" s="67"/>
      <x:c r="AA15" s="67"/>
      <x:c r="AB15" s="67"/>
      <x:c r="AC15" s="67"/>
      <x:c r="AD15" s="67"/>
      <x:c r="AE15" s="67"/>
      <x:c r="AF15" s="67"/>
      <x:c r="AG15" s="67"/>
      <x:c r="AH15" s="67"/>
      <x:c r="AI15" s="67"/>
      <x:c r="AJ15" s="67"/>
      <x:c r="AK15" s="67"/>
      <x:c r="AL15" s="67"/>
      <x:c r="AM15" s="67"/>
      <x:c r="AN15" s="67"/>
      <x:c r="AO15" s="67"/>
      <x:c r="AP15" s="67"/>
      <x:c r="AQ15" s="67"/>
      <x:c r="AR15" s="67"/>
      <x:c r="AS15" s="67"/>
      <x:c r="AT15" s="67"/>
      <x:c r="AU15" s="67"/>
      <x:c r="AV15" s="67"/>
      <x:c r="AW15" s="67"/>
      <x:c r="AX15" s="67"/>
    </x:row>
    <x:row r="16">
      <x:c r="A16" s="67"/>
      <x:c r="B16" s="67"/>
      <x:c r="C16" s="67"/>
      <x:c r="D16" s="67"/>
      <x:c r="E16" s="67"/>
      <x:c r="F16" s="67"/>
      <x:c r="G16" s="67"/>
      <x:c r="H16" s="67"/>
      <x:c r="I16" s="67"/>
      <x:c r="J16" s="67"/>
      <x:c r="K16" s="67"/>
      <x:c r="L16" s="67"/>
      <x:c r="M16" s="67"/>
      <x:c r="N16" s="67"/>
      <x:c r="O16" s="67"/>
      <x:c r="P16" s="67"/>
      <x:c r="Q16" s="67"/>
      <x:c r="R16" s="67"/>
      <x:c r="S16" s="67"/>
      <x:c r="T16" s="67"/>
      <x:c r="U16" s="67"/>
      <x:c r="V16" s="67"/>
      <x:c r="W16" s="67"/>
      <x:c r="X16" s="67"/>
      <x:c r="Y16" s="67"/>
      <x:c r="Z16" s="67"/>
      <x:c r="AA16" s="67"/>
      <x:c r="AB16" s="67"/>
      <x:c r="AC16" s="67"/>
      <x:c r="AD16" s="67"/>
      <x:c r="AE16" s="67"/>
      <x:c r="AF16" s="67"/>
      <x:c r="AG16" s="67"/>
      <x:c r="AH16" s="67"/>
      <x:c r="AI16" s="67"/>
      <x:c r="AJ16" s="67"/>
      <x:c r="AK16" s="67"/>
      <x:c r="AL16" s="67"/>
      <x:c r="AM16" s="67"/>
      <x:c r="AN16" s="67"/>
      <x:c r="AO16" s="67"/>
      <x:c r="AP16" s="67"/>
      <x:c r="AQ16" s="67"/>
      <x:c r="AR16" s="67"/>
      <x:c r="AS16" s="67"/>
      <x:c r="AT16" s="67"/>
      <x:c r="AU16" s="67"/>
      <x:c r="AV16" s="67"/>
      <x:c r="AW16" s="67"/>
      <x:c r="AX16" s="67"/>
    </x:row>
    <x:row r="17">
      <x:c r="A17" s="67"/>
      <x:c r="B17" s="67"/>
      <x:c r="C17" s="67"/>
      <x:c r="D17" s="67"/>
      <x:c r="E17" s="67"/>
      <x:c r="F17" s="67"/>
      <x:c r="G17" s="67"/>
      <x:c r="H17" s="67"/>
      <x:c r="I17" s="67"/>
      <x:c r="J17" s="67"/>
      <x:c r="K17" s="67"/>
      <x:c r="L17" s="67"/>
      <x:c r="M17" s="67"/>
      <x:c r="N17" s="67"/>
      <x:c r="O17" s="67"/>
      <x:c r="P17" s="67"/>
      <x:c r="Q17" s="67"/>
      <x:c r="R17" s="67"/>
      <x:c r="S17" s="67"/>
      <x:c r="T17" s="67"/>
      <x:c r="U17" s="67"/>
      <x:c r="V17" s="67"/>
      <x:c r="W17" s="67"/>
      <x:c r="X17" s="67"/>
      <x:c r="Y17" s="67"/>
      <x:c r="Z17" s="67"/>
      <x:c r="AA17" s="67"/>
      <x:c r="AB17" s="67"/>
      <x:c r="AC17" s="67"/>
      <x:c r="AD17" s="67"/>
      <x:c r="AE17" s="67"/>
      <x:c r="AF17" s="67"/>
      <x:c r="AG17" s="67"/>
      <x:c r="AH17" s="67"/>
      <x:c r="AI17" s="67"/>
      <x:c r="AJ17" s="67"/>
      <x:c r="AK17" s="67"/>
      <x:c r="AL17" s="67"/>
      <x:c r="AM17" s="67"/>
      <x:c r="AN17" s="67"/>
      <x:c r="AO17" s="67"/>
      <x:c r="AP17" s="67"/>
      <x:c r="AQ17" s="67"/>
      <x:c r="AR17" s="67"/>
      <x:c r="AS17" s="67"/>
      <x:c r="AT17" s="67"/>
      <x:c r="AU17" s="67"/>
      <x:c r="AV17" s="67"/>
      <x:c r="AW17" s="67"/>
      <x:c r="AX17" s="67"/>
    </x:row>
    <x:row r="18">
      <x:c r="A18" s="67"/>
      <x:c r="B18" s="67"/>
      <x:c r="C18" s="67"/>
      <x:c r="D18" s="67"/>
      <x:c r="E18" s="67"/>
      <x:c r="F18" s="67"/>
      <x:c r="G18" s="67"/>
      <x:c r="H18" s="67"/>
      <x:c r="I18" s="67"/>
      <x:c r="J18" s="67"/>
      <x:c r="K18" s="67"/>
      <x:c r="L18" s="67"/>
      <x:c r="M18" s="67"/>
      <x:c r="N18" s="67"/>
      <x:c r="O18" s="67"/>
      <x:c r="P18" s="67"/>
      <x:c r="Q18" s="67"/>
      <x:c r="R18" s="67"/>
      <x:c r="S18" s="67"/>
      <x:c r="T18" s="67"/>
      <x:c r="U18" s="67"/>
      <x:c r="V18" s="67"/>
      <x:c r="W18" s="67"/>
      <x:c r="X18" s="67"/>
      <x:c r="Y18" s="67"/>
      <x:c r="Z18" s="67"/>
      <x:c r="AA18" s="67"/>
      <x:c r="AB18" s="67"/>
      <x:c r="AC18" s="67"/>
      <x:c r="AD18" s="67"/>
      <x:c r="AE18" s="67"/>
      <x:c r="AF18" s="67"/>
      <x:c r="AG18" s="67"/>
      <x:c r="AH18" s="67"/>
      <x:c r="AI18" s="67"/>
      <x:c r="AJ18" s="67"/>
      <x:c r="AK18" s="67"/>
      <x:c r="AL18" s="67"/>
      <x:c r="AM18" s="67"/>
      <x:c r="AN18" s="67"/>
      <x:c r="AO18" s="67"/>
      <x:c r="AP18" s="67"/>
      <x:c r="AQ18" s="67"/>
      <x:c r="AR18" s="67"/>
      <x:c r="AS18" s="67"/>
      <x:c r="AT18" s="67"/>
      <x:c r="AU18" s="67"/>
      <x:c r="AV18" s="67"/>
      <x:c r="AW18" s="67"/>
      <x:c r="AX18" s="67"/>
    </x:row>
    <x:row r="19">
      <x:c r="A19" s="67"/>
      <x:c r="B19" s="67"/>
      <x:c r="C19" s="67"/>
      <x:c r="D19" s="67"/>
      <x:c r="E19" s="67"/>
      <x:c r="F19" s="67"/>
      <x:c r="G19" s="67"/>
      <x:c r="H19" s="67"/>
      <x:c r="I19" s="67"/>
      <x:c r="J19" s="67"/>
      <x:c r="K19" s="67"/>
      <x:c r="L19" s="67"/>
      <x:c r="M19" s="67"/>
      <x:c r="N19" s="67"/>
      <x:c r="O19" s="67"/>
      <x:c r="P19" s="67"/>
      <x:c r="Q19" s="67"/>
      <x:c r="R19" s="67"/>
      <x:c r="S19" s="67"/>
      <x:c r="T19" s="67"/>
      <x:c r="U19" s="67"/>
      <x:c r="V19" s="67"/>
      <x:c r="W19" s="67"/>
      <x:c r="X19" s="67"/>
      <x:c r="Y19" s="67"/>
      <x:c r="Z19" s="67"/>
      <x:c r="AA19" s="67"/>
      <x:c r="AB19" s="67"/>
      <x:c r="AC19" s="67"/>
      <x:c r="AD19" s="67"/>
      <x:c r="AE19" s="67"/>
      <x:c r="AF19" s="67"/>
      <x:c r="AG19" s="67"/>
      <x:c r="AH19" s="67"/>
      <x:c r="AI19" s="67"/>
      <x:c r="AJ19" s="67"/>
      <x:c r="AK19" s="67"/>
      <x:c r="AL19" s="67"/>
      <x:c r="AM19" s="67"/>
      <x:c r="AN19" s="67"/>
      <x:c r="AO19" s="67"/>
      <x:c r="AP19" s="67"/>
      <x:c r="AQ19" s="67"/>
      <x:c r="AR19" s="67"/>
      <x:c r="AS19" s="67"/>
      <x:c r="AT19" s="67"/>
      <x:c r="AU19" s="67"/>
      <x:c r="AV19" s="67"/>
      <x:c r="AW19" s="67"/>
      <x:c r="AX19" s="67"/>
    </x:row>
    <x:row r="20">
      <x:c r="A20" s="67"/>
      <x:c r="B20" s="67"/>
      <x:c r="C20" s="67"/>
      <x:c r="D20" s="67"/>
      <x:c r="E20" s="67"/>
      <x:c r="F20" s="67"/>
      <x:c r="G20" s="67"/>
      <x:c r="H20" s="67"/>
      <x:c r="I20" s="67"/>
      <x:c r="J20" s="67"/>
      <x:c r="K20" s="67"/>
      <x:c r="L20" s="67"/>
      <x:c r="M20" s="67"/>
      <x:c r="N20" s="67"/>
      <x:c r="O20" s="67"/>
      <x:c r="P20" s="67"/>
      <x:c r="Q20" s="67"/>
      <x:c r="R20" s="67"/>
      <x:c r="S20" s="67"/>
      <x:c r="T20" s="67"/>
      <x:c r="U20" s="67"/>
      <x:c r="V20" s="67"/>
      <x:c r="W20" s="67"/>
      <x:c r="X20" s="67"/>
      <x:c r="Y20" s="67"/>
      <x:c r="Z20" s="67"/>
      <x:c r="AA20" s="67"/>
      <x:c r="AB20" s="67"/>
      <x:c r="AC20" s="67"/>
      <x:c r="AD20" s="67"/>
      <x:c r="AE20" s="67"/>
      <x:c r="AF20" s="67"/>
      <x:c r="AG20" s="67"/>
      <x:c r="AH20" s="67"/>
      <x:c r="AI20" s="67"/>
      <x:c r="AJ20" s="67"/>
      <x:c r="AK20" s="67"/>
      <x:c r="AL20" s="67"/>
      <x:c r="AM20" s="67"/>
      <x:c r="AN20" s="67"/>
      <x:c r="AO20" s="67"/>
      <x:c r="AP20" s="67"/>
      <x:c r="AQ20" s="67"/>
      <x:c r="AR20" s="67"/>
      <x:c r="AS20" s="67"/>
      <x:c r="AT20" s="67"/>
      <x:c r="AU20" s="67"/>
      <x:c r="AV20" s="67"/>
      <x:c r="AW20" s="67"/>
      <x:c r="AX20" s="67"/>
    </x:row>
    <x:row r="21">
      <x:c r="A21" s="67"/>
      <x:c r="B21" s="67"/>
      <x:c r="C21" s="67"/>
      <x:c r="D21" s="67"/>
      <x:c r="E21" s="67"/>
      <x:c r="F21" s="67"/>
      <x:c r="G21" s="67"/>
      <x:c r="H21" s="67"/>
      <x:c r="I21" s="67"/>
      <x:c r="J21" s="67"/>
      <x:c r="K21" s="67"/>
      <x:c r="L21" s="67"/>
      <x:c r="M21" s="67"/>
      <x:c r="N21" s="67"/>
      <x:c r="O21" s="67"/>
      <x:c r="P21" s="67"/>
      <x:c r="Q21" s="67"/>
      <x:c r="R21" s="67"/>
      <x:c r="S21" s="67"/>
      <x:c r="T21" s="67"/>
      <x:c r="U21" s="67"/>
      <x:c r="V21" s="67"/>
      <x:c r="W21" s="67"/>
      <x:c r="X21" s="67"/>
      <x:c r="Y21" s="67"/>
      <x:c r="Z21" s="67"/>
      <x:c r="AA21" s="67"/>
      <x:c r="AB21" s="67"/>
      <x:c r="AC21" s="67"/>
      <x:c r="AD21" s="67"/>
      <x:c r="AE21" s="67"/>
      <x:c r="AF21" s="67"/>
      <x:c r="AG21" s="67"/>
      <x:c r="AH21" s="67"/>
      <x:c r="AI21" s="67"/>
      <x:c r="AJ21" s="67"/>
      <x:c r="AK21" s="67"/>
      <x:c r="AL21" s="67"/>
      <x:c r="AM21" s="67"/>
      <x:c r="AN21" s="67"/>
      <x:c r="AO21" s="67"/>
      <x:c r="AP21" s="67"/>
      <x:c r="AQ21" s="67"/>
      <x:c r="AR21" s="67"/>
      <x:c r="AS21" s="67"/>
      <x:c r="AT21" s="67"/>
      <x:c r="AU21" s="67"/>
      <x:c r="AV21" s="67"/>
      <x:c r="AW21" s="67"/>
      <x:c r="AX21" s="67"/>
    </x:row>
    <x:row r="22">
      <x:c r="A22" s="67"/>
      <x:c r="B22" s="67"/>
      <x:c r="C22" s="67"/>
      <x:c r="D22" s="67"/>
      <x:c r="E22" s="67"/>
      <x:c r="F22" s="67"/>
      <x:c r="G22" s="67"/>
      <x:c r="H22" s="67"/>
      <x:c r="I22" s="67"/>
      <x:c r="J22" s="67"/>
      <x:c r="K22" s="67"/>
      <x:c r="L22" s="67"/>
      <x:c r="M22" s="67"/>
      <x:c r="N22" s="67"/>
      <x:c r="O22" s="67"/>
      <x:c r="P22" s="67"/>
      <x:c r="Q22" s="67"/>
      <x:c r="R22" s="67"/>
      <x:c r="S22" s="67"/>
      <x:c r="T22" s="67"/>
      <x:c r="U22" s="67"/>
      <x:c r="V22" s="67"/>
      <x:c r="W22" s="67"/>
      <x:c r="X22" s="67"/>
      <x:c r="Y22" s="67"/>
      <x:c r="Z22" s="67"/>
      <x:c r="AA22" s="67"/>
      <x:c r="AB22" s="67"/>
      <x:c r="AC22" s="67"/>
      <x:c r="AD22" s="67"/>
      <x:c r="AE22" s="67"/>
      <x:c r="AF22" s="67"/>
      <x:c r="AG22" s="67"/>
      <x:c r="AH22" s="67"/>
      <x:c r="AI22" s="67"/>
      <x:c r="AJ22" s="67"/>
      <x:c r="AK22" s="67"/>
      <x:c r="AL22" s="67"/>
      <x:c r="AM22" s="67"/>
      <x:c r="AN22" s="67"/>
      <x:c r="AO22" s="67"/>
      <x:c r="AP22" s="67"/>
      <x:c r="AQ22" s="67"/>
      <x:c r="AR22" s="67"/>
      <x:c r="AS22" s="67"/>
      <x:c r="AT22" s="67"/>
      <x:c r="AU22" s="67"/>
      <x:c r="AV22" s="67"/>
      <x:c r="AW22" s="67"/>
      <x:c r="AX22" s="67"/>
    </x:row>
    <x:row r="23">
      <x:c r="A23" s="67"/>
      <x:c r="B23" s="67"/>
      <x:c r="C23" s="67"/>
      <x:c r="D23" s="67"/>
      <x:c r="E23" s="67"/>
      <x:c r="F23" s="67"/>
      <x:c r="G23" s="67"/>
      <x:c r="H23" s="67"/>
      <x:c r="I23" s="67"/>
      <x:c r="J23" s="67"/>
      <x:c r="K23" s="67"/>
      <x:c r="L23" s="67"/>
      <x:c r="M23" s="67"/>
      <x:c r="N23" s="67"/>
      <x:c r="O23" s="67"/>
      <x:c r="P23" s="67"/>
      <x:c r="Q23" s="67"/>
      <x:c r="R23" s="67"/>
      <x:c r="S23" s="67"/>
      <x:c r="T23" s="67"/>
      <x:c r="U23" s="67"/>
      <x:c r="V23" s="67"/>
      <x:c r="W23" s="67"/>
      <x:c r="X23" s="67"/>
      <x:c r="Y23" s="67"/>
      <x:c r="Z23" s="67"/>
      <x:c r="AA23" s="67"/>
      <x:c r="AB23" s="67"/>
      <x:c r="AC23" s="67"/>
      <x:c r="AD23" s="67"/>
      <x:c r="AE23" s="67"/>
      <x:c r="AF23" s="67"/>
      <x:c r="AG23" s="67"/>
      <x:c r="AH23" s="67"/>
      <x:c r="AI23" s="67"/>
      <x:c r="AJ23" s="67"/>
      <x:c r="AK23" s="67"/>
      <x:c r="AL23" s="67"/>
      <x:c r="AM23" s="67"/>
      <x:c r="AN23" s="67"/>
      <x:c r="AO23" s="67"/>
      <x:c r="AP23" s="67"/>
      <x:c r="AQ23" s="67"/>
      <x:c r="AR23" s="67"/>
      <x:c r="AS23" s="67"/>
      <x:c r="AT23" s="67"/>
      <x:c r="AU23" s="67"/>
      <x:c r="AV23" s="67"/>
      <x:c r="AW23" s="67"/>
      <x:c r="AX23" s="67"/>
    </x:row>
    <x:row r="24">
      <x:c r="A24" s="67"/>
      <x:c r="B24" s="67"/>
      <x:c r="C24" s="67"/>
      <x:c r="D24" s="67"/>
      <x:c r="E24" s="67"/>
      <x:c r="F24" s="67"/>
      <x:c r="G24" s="67"/>
      <x:c r="H24" s="67"/>
      <x:c r="I24" s="67"/>
      <x:c r="J24" s="67"/>
      <x:c r="K24" s="67"/>
      <x:c r="L24" s="67"/>
      <x:c r="M24" s="67"/>
      <x:c r="N24" s="67"/>
      <x:c r="O24" s="67"/>
      <x:c r="P24" s="67"/>
      <x:c r="Q24" s="67"/>
      <x:c r="R24" s="67"/>
      <x:c r="S24" s="67"/>
      <x:c r="T24" s="67"/>
      <x:c r="U24" s="67"/>
      <x:c r="V24" s="67"/>
      <x:c r="W24" s="67"/>
      <x:c r="X24" s="67"/>
      <x:c r="Y24" s="67"/>
      <x:c r="Z24" s="67"/>
      <x:c r="AA24" s="67"/>
      <x:c r="AB24" s="67"/>
      <x:c r="AC24" s="67"/>
      <x:c r="AD24" s="67"/>
      <x:c r="AE24" s="67"/>
      <x:c r="AF24" s="67"/>
      <x:c r="AG24" s="67"/>
      <x:c r="AH24" s="67"/>
      <x:c r="AI24" s="67"/>
      <x:c r="AJ24" s="67"/>
      <x:c r="AK24" s="67"/>
      <x:c r="AL24" s="67"/>
      <x:c r="AM24" s="67"/>
      <x:c r="AN24" s="67"/>
      <x:c r="AO24" s="67"/>
      <x:c r="AP24" s="67"/>
      <x:c r="AQ24" s="67"/>
      <x:c r="AR24" s="67"/>
      <x:c r="AS24" s="67"/>
      <x:c r="AT24" s="67"/>
      <x:c r="AU24" s="67"/>
      <x:c r="AV24" s="67"/>
      <x:c r="AW24" s="67"/>
      <x:c r="AX24" s="67"/>
    </x:row>
    <x:row r="25">
      <x:c r="A25" s="67"/>
      <x:c r="B25" s="67"/>
      <x:c r="C25" s="67"/>
      <x:c r="D25" s="67"/>
      <x:c r="E25" s="67"/>
      <x:c r="F25" s="67"/>
      <x:c r="G25" s="67"/>
      <x:c r="H25" s="67"/>
      <x:c r="I25" s="67"/>
      <x:c r="J25" s="67"/>
      <x:c r="K25" s="67"/>
      <x:c r="L25" s="67"/>
      <x:c r="M25" s="67"/>
      <x:c r="N25" s="67"/>
      <x:c r="O25" s="67"/>
      <x:c r="P25" s="67"/>
      <x:c r="Q25" s="67"/>
      <x:c r="R25" s="67"/>
      <x:c r="S25" s="67"/>
      <x:c r="T25" s="67"/>
      <x:c r="U25" s="67"/>
      <x:c r="V25" s="67"/>
      <x:c r="W25" s="67"/>
      <x:c r="X25" s="67"/>
      <x:c r="Y25" s="67"/>
      <x:c r="Z25" s="67"/>
      <x:c r="AA25" s="67"/>
      <x:c r="AB25" s="67"/>
      <x:c r="AC25" s="67"/>
      <x:c r="AD25" s="67"/>
      <x:c r="AE25" s="67"/>
      <x:c r="AF25" s="67"/>
      <x:c r="AG25" s="67"/>
      <x:c r="AH25" s="67"/>
      <x:c r="AI25" s="67"/>
      <x:c r="AJ25" s="67"/>
      <x:c r="AK25" s="67"/>
      <x:c r="AL25" s="67"/>
      <x:c r="AM25" s="67"/>
      <x:c r="AN25" s="67"/>
      <x:c r="AO25" s="67"/>
      <x:c r="AP25" s="67"/>
      <x:c r="AQ25" s="67"/>
      <x:c r="AR25" s="67"/>
      <x:c r="AS25" s="67"/>
      <x:c r="AT25" s="67"/>
      <x:c r="AU25" s="67"/>
      <x:c r="AV25" s="67"/>
      <x:c r="AW25" s="67"/>
      <x:c r="AX25" s="67"/>
    </x:row>
    <x:row r="26">
      <x:c r="A26" s="67"/>
      <x:c r="B26" s="67"/>
      <x:c r="C26" s="67"/>
      <x:c r="D26" s="67"/>
      <x:c r="E26" s="67"/>
      <x:c r="F26" s="67"/>
      <x:c r="G26" s="67"/>
      <x:c r="H26" s="67"/>
      <x:c r="I26" s="67"/>
      <x:c r="J26" s="67"/>
      <x:c r="K26" s="67"/>
      <x:c r="L26" s="67"/>
      <x:c r="M26" s="67"/>
      <x:c r="N26" s="67"/>
      <x:c r="O26" s="67"/>
      <x:c r="P26" s="67"/>
      <x:c r="Q26" s="67"/>
      <x:c r="R26" s="67"/>
      <x:c r="S26" s="67"/>
      <x:c r="T26" s="67"/>
      <x:c r="U26" s="67"/>
      <x:c r="V26" s="67"/>
      <x:c r="W26" s="67"/>
      <x:c r="X26" s="67"/>
      <x:c r="Y26" s="67"/>
      <x:c r="Z26" s="67"/>
      <x:c r="AA26" s="67"/>
      <x:c r="AB26" s="67"/>
      <x:c r="AC26" s="67"/>
      <x:c r="AD26" s="67"/>
      <x:c r="AE26" s="67"/>
      <x:c r="AF26" s="67"/>
      <x:c r="AG26" s="67"/>
      <x:c r="AH26" s="67"/>
      <x:c r="AI26" s="67"/>
      <x:c r="AJ26" s="67"/>
      <x:c r="AK26" s="67"/>
      <x:c r="AL26" s="67"/>
      <x:c r="AM26" s="67"/>
      <x:c r="AN26" s="67"/>
      <x:c r="AO26" s="67"/>
      <x:c r="AP26" s="67"/>
      <x:c r="AQ26" s="67"/>
      <x:c r="AR26" s="67"/>
      <x:c r="AS26" s="67"/>
      <x:c r="AT26" s="67"/>
      <x:c r="AU26" s="67"/>
      <x:c r="AV26" s="67"/>
      <x:c r="AW26" s="67"/>
      <x:c r="AX26" s="67"/>
    </x:row>
    <x:row r="27">
      <x:c r="A27" s="67"/>
      <x:c r="B27" s="67"/>
      <x:c r="C27" s="67"/>
      <x:c r="D27" s="67"/>
      <x:c r="E27" s="67"/>
      <x:c r="F27" s="67"/>
      <x:c r="G27" s="67"/>
      <x:c r="H27" s="67"/>
      <x:c r="I27" s="67"/>
      <x:c r="J27" s="67"/>
      <x:c r="K27" s="67"/>
      <x:c r="L27" s="67"/>
      <x:c r="M27" s="67"/>
      <x:c r="N27" s="67"/>
      <x:c r="O27" s="67"/>
      <x:c r="P27" s="67"/>
      <x:c r="Q27" s="67"/>
      <x:c r="R27" s="67"/>
      <x:c r="S27" s="67"/>
      <x:c r="T27" s="67"/>
      <x:c r="U27" s="67"/>
      <x:c r="V27" s="67"/>
      <x:c r="W27" s="67"/>
      <x:c r="X27" s="67"/>
      <x:c r="Y27" s="67"/>
      <x:c r="Z27" s="67"/>
      <x:c r="AA27" s="67"/>
      <x:c r="AB27" s="67"/>
      <x:c r="AC27" s="67"/>
      <x:c r="AD27" s="67"/>
      <x:c r="AE27" s="67"/>
      <x:c r="AF27" s="67"/>
      <x:c r="AG27" s="67"/>
      <x:c r="AH27" s="67"/>
      <x:c r="AI27" s="67"/>
      <x:c r="AJ27" s="67"/>
      <x:c r="AK27" s="67"/>
      <x:c r="AL27" s="67"/>
      <x:c r="AM27" s="67"/>
      <x:c r="AN27" s="67"/>
      <x:c r="AO27" s="67"/>
      <x:c r="AP27" s="67"/>
      <x:c r="AQ27" s="67"/>
      <x:c r="AR27" s="67"/>
      <x:c r="AS27" s="67"/>
      <x:c r="AT27" s="67"/>
      <x:c r="AU27" s="67"/>
      <x:c r="AV27" s="67"/>
      <x:c r="AW27" s="67"/>
      <x:c r="AX27" s="67"/>
    </x:row>
    <x:row r="28">
      <x:c r="A28" s="67"/>
      <x:c r="B28" s="67"/>
      <x:c r="C28" s="67"/>
      <x:c r="D28" s="67"/>
      <x:c r="E28" s="67"/>
      <x:c r="F28" s="67"/>
      <x:c r="G28" s="67"/>
      <x:c r="H28" s="67"/>
      <x:c r="I28" s="67"/>
      <x:c r="J28" s="67"/>
      <x:c r="K28" s="67"/>
      <x:c r="L28" s="67"/>
      <x:c r="M28" s="67"/>
      <x:c r="N28" s="67"/>
      <x:c r="O28" s="67"/>
      <x:c r="P28" s="67"/>
      <x:c r="Q28" s="67"/>
      <x:c r="R28" s="67"/>
      <x:c r="S28" s="67"/>
      <x:c r="T28" s="67"/>
      <x:c r="U28" s="67"/>
      <x:c r="V28" s="67"/>
      <x:c r="W28" s="67"/>
      <x:c r="X28" s="67"/>
      <x:c r="Y28" s="67"/>
      <x:c r="Z28" s="67"/>
      <x:c r="AA28" s="67"/>
      <x:c r="AB28" s="67"/>
      <x:c r="AC28" s="67"/>
      <x:c r="AD28" s="67"/>
      <x:c r="AE28" s="67"/>
      <x:c r="AF28" s="67"/>
      <x:c r="AG28" s="67"/>
      <x:c r="AH28" s="67"/>
      <x:c r="AI28" s="67"/>
      <x:c r="AJ28" s="67"/>
      <x:c r="AK28" s="67"/>
      <x:c r="AL28" s="67"/>
      <x:c r="AM28" s="67"/>
      <x:c r="AN28" s="67"/>
      <x:c r="AO28" s="67"/>
      <x:c r="AP28" s="67"/>
      <x:c r="AQ28" s="67"/>
      <x:c r="AR28" s="67"/>
      <x:c r="AS28" s="67"/>
      <x:c r="AT28" s="67"/>
      <x:c r="AU28" s="67"/>
      <x:c r="AV28" s="67"/>
      <x:c r="AW28" s="67"/>
      <x:c r="AX28" s="67"/>
    </x:row>
  </x:sheetData>
  <x:mergeCells>
    <x:mergeCell ref="A1:AX28"/>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6" hidden="0" customWidth="1"/>
    <x:col min="6" max="6" width="20" hidden="0" customWidth="1"/>
    <x:col min="7" max="7" width="22" hidden="0" customWidth="1"/>
    <x:col min="8" max="8" width="18" hidden="0" customWidth="1"/>
  </x:cols>
  <x:sheetData>
    <x:row r="1">
      <x:c r="A1" s="129" t="str">
        <x:v>Control de Costos – Signy</x:v>
      </x:c>
      <x:c r="B1" s="129"/>
      <x:c r="C1" s="129"/>
      <x:c r="D1" s="129"/>
      <x:c r="E1" s="129"/>
      <x:c r="F1" s="129"/>
      <x:c r="G1" s="129"/>
      <x:c r="H1" s="129"/>
    </x:row>
    <x:row r="2">
      <x:c r="A2" t="str">
        <x:v>Corte 11/09/2026. Costo real informado = $0 cuando no se han proporcionado comprobantes; el forecast se controla contra la línea base.</x:v>
      </x:c>
    </x:row>
    <x:row r="4">
      <x:c r="A4" s="137" t="str">
        <x:v>Categoría</x:v>
      </x:c>
      <x:c r="B4" s="137" t="str">
        <x:v>Presupuesto inicial CLP</x:v>
      </x:c>
      <x:c r="C4" s="137" t="str">
        <x:v>Presupuesto actual CLP</x:v>
      </x:c>
      <x:c r="D4" s="137" t="str">
        <x:v>Costo real informado CLP</x:v>
      </x:c>
      <x:c r="E4" s="137" t="str">
        <x:v>Costo comprometido / planificado CLP</x:v>
      </x:c>
      <x:c r="F4" s="137" t="str">
        <x:v>Costo hasta cierre CLP</x:v>
      </x:c>
      <x:c r="G4" s="137" t="str">
        <x:v>Costo total esperado CLP</x:v>
      </x:c>
      <x:c r="H4" s="137" t="str">
        <x:v>Variación forecast</x:v>
      </x:c>
    </x:row>
    <x:row r="5">
      <x:c r="A5" s="144" t="str">
        <x:v>Fernanda – costo oportunidad</x:v>
      </x:c>
      <x:c r="B5" s="145" t="n">
        <x:v>946354</x:v>
      </x:c>
      <x:c r="C5" s="145" t="n">
        <x:v>946354</x:v>
      </x:c>
      <x:c r="D5" s="145" t="n">
        <x:v>0</x:v>
      </x:c>
      <x:c r="E5" s="145" t="n">
        <x:v>946354</x:v>
      </x:c>
      <x:c r="F5" s="145" t="n">
        <x:v>0</x:v>
      </x:c>
      <x:c r="G5" s="145" t="n">
        <x:v>946354</x:v>
      </x:c>
      <x:c r="H5" s="145" t="n">
        <x:v>0</x:v>
      </x:c>
    </x:row>
    <x:row r="6">
      <x:c r="A6" s="144" t="str">
        <x:v>Catalina – costo oportunidad</x:v>
      </x:c>
      <x:c r="B6" s="145" t="n">
        <x:v>1000787</x:v>
      </x:c>
      <x:c r="C6" s="145" t="n">
        <x:v>1000787</x:v>
      </x:c>
      <x:c r="D6" s="145" t="n">
        <x:v>0</x:v>
      </x:c>
      <x:c r="E6" s="145" t="n">
        <x:v>1000787</x:v>
      </x:c>
      <x:c r="F6" s="145" t="n">
        <x:v>0</x:v>
      </x:c>
      <x:c r="G6" s="145" t="n">
        <x:v>1000787</x:v>
      </x:c>
      <x:c r="H6" s="145" t="n">
        <x:v>0</x:v>
      </x:c>
    </x:row>
    <x:row r="7">
      <x:c r="A7" s="144" t="str">
        <x:v>Benjamín – costo oportunidad</x:v>
      </x:c>
      <x:c r="B7" s="145" t="n">
        <x:v>634615</x:v>
      </x:c>
      <x:c r="C7" s="145" t="n">
        <x:v>634615</x:v>
      </x:c>
      <x:c r="D7" s="145" t="n">
        <x:v>0</x:v>
      </x:c>
      <x:c r="E7" s="145" t="n">
        <x:v>634615</x:v>
      </x:c>
      <x:c r="F7" s="145" t="n">
        <x:v>0</x:v>
      </x:c>
      <x:c r="G7" s="145" t="n">
        <x:v>634615</x:v>
      </x:c>
      <x:c r="H7" s="145" t="n">
        <x:v>0</x:v>
      </x:c>
    </x:row>
    <x:row r="8">
      <x:c r="A8" s="144" t="str">
        <x:v>Michael – costo oportunidad</x:v>
      </x:c>
      <x:c r="B8" s="145" t="n">
        <x:v>634615</x:v>
      </x:c>
      <x:c r="C8" s="145" t="n">
        <x:v>634615</x:v>
      </x:c>
      <x:c r="D8" s="145" t="n">
        <x:v>0</x:v>
      </x:c>
      <x:c r="E8" s="145" t="n">
        <x:v>634615</x:v>
      </x:c>
      <x:c r="F8" s="145" t="n">
        <x:v>0</x:v>
      </x:c>
      <x:c r="G8" s="145" t="n">
        <x:v>634615</x:v>
      </x:c>
      <x:c r="H8" s="145" t="n">
        <x:v>0</x:v>
      </x:c>
    </x:row>
    <x:row r="9">
      <x:c r="A9" s="144" t="str">
        <x:v>Supabase Pro</x:v>
      </x:c>
      <x:c r="B9" s="145" t="n">
        <x:v>283020</x:v>
      </x:c>
      <x:c r="C9" s="145" t="n">
        <x:v>283020</x:v>
      </x:c>
      <x:c r="D9" s="145" t="n">
        <x:v>0</x:v>
      </x:c>
      <x:c r="E9" s="145" t="n">
        <x:v>283020</x:v>
      </x:c>
      <x:c r="F9" s="145" t="n">
        <x:v>0</x:v>
      </x:c>
      <x:c r="G9" s="145" t="n">
        <x:v>283020</x:v>
      </x:c>
      <x:c r="H9" s="145" t="n">
        <x:v>0</x:v>
      </x:c>
    </x:row>
    <x:row r="10">
      <x:c r="A10" s="144" t="str">
        <x:v>Dominio .CL</x:v>
      </x:c>
      <x:c r="B10" s="145" t="n">
        <x:v>9990</x:v>
      </x:c>
      <x:c r="C10" s="145" t="n">
        <x:v>9990</x:v>
      </x:c>
      <x:c r="D10" s="145" t="n">
        <x:v>0</x:v>
      </x:c>
      <x:c r="E10" s="145" t="n">
        <x:v>9990</x:v>
      </x:c>
      <x:c r="F10" s="145" t="n">
        <x:v>0</x:v>
      </x:c>
      <x:c r="G10" s="145" t="n">
        <x:v>9990</x:v>
      </x:c>
      <x:c r="H10" s="145" t="n">
        <x:v>0</x:v>
      </x:c>
    </x:row>
    <x:row r="11">
      <x:c r="A11" s="144" t="str">
        <x:v>Validación profesional LSCh</x:v>
      </x:c>
      <x:c r="B11" s="145" t="n">
        <x:v>168068</x:v>
      </x:c>
      <x:c r="C11" s="145" t="n">
        <x:v>168068</x:v>
      </x:c>
      <x:c r="D11" s="145" t="n">
        <x:v>0</x:v>
      </x:c>
      <x:c r="E11" s="145" t="n">
        <x:v>168068</x:v>
      </x:c>
      <x:c r="F11" s="145" t="n">
        <x:v>0</x:v>
      </x:c>
      <x:c r="G11" s="145" t="n">
        <x:v>168068</x:v>
      </x:c>
      <x:c r="H11" s="145" t="n">
        <x:v>0</x:v>
      </x:c>
    </x:row>
    <x:row r="12">
      <x:c r="A12" s="144" t="str">
        <x:v>Incentivos pruebas</x:v>
      </x:c>
      <x:c r="B12" s="145" t="n">
        <x:v>50000</x:v>
      </x:c>
      <x:c r="C12" s="145" t="n">
        <x:v>50000</x:v>
      </x:c>
      <x:c r="D12" s="145" t="n">
        <x:v>0</x:v>
      </x:c>
      <x:c r="E12" s="145" t="n">
        <x:v>50000</x:v>
      </x:c>
      <x:c r="F12" s="145" t="n">
        <x:v>0</x:v>
      </x:c>
      <x:c r="G12" s="145" t="n">
        <x:v>50000</x:v>
      </x:c>
      <x:c r="H12" s="145" t="n">
        <x:v>0</x:v>
      </x:c>
    </x:row>
    <x:row r="13">
      <x:c r="A13" s="144" t="str">
        <x:v>Logística validación</x:v>
      </x:c>
      <x:c r="B13" s="145" t="n">
        <x:v>50000</x:v>
      </x:c>
      <x:c r="C13" s="145" t="n">
        <x:v>50000</x:v>
      </x:c>
      <x:c r="D13" s="145" t="n">
        <x:v>0</x:v>
      </x:c>
      <x:c r="E13" s="145" t="n">
        <x:v>50000</x:v>
      </x:c>
      <x:c r="F13" s="145" t="n">
        <x:v>0</x:v>
      </x:c>
      <x:c r="G13" s="145" t="n">
        <x:v>50000</x:v>
      </x:c>
      <x:c r="H13" s="145" t="n">
        <x:v>0</x:v>
      </x:c>
    </x:row>
    <x:row r="14">
      <x:c r="A14" s="144" t="str">
        <x:v>Apoyo DIDECO Huechuraba</x:v>
      </x:c>
      <x:c r="B14" s="145" t="n">
        <x:v>0</x:v>
      </x:c>
      <x:c r="C14" s="145" t="n">
        <x:v>0</x:v>
      </x:c>
      <x:c r="D14" s="145" t="n">
        <x:v>0</x:v>
      </x:c>
      <x:c r="E14" s="145" t="n">
        <x:v>0</x:v>
      </x:c>
      <x:c r="F14" s="145" t="n">
        <x:v>0</x:v>
      </x:c>
      <x:c r="G14" s="145" t="n">
        <x:v>0</x:v>
      </x:c>
      <x:c r="H14" s="145" t="n">
        <x:v>0</x:v>
      </x:c>
    </x:row>
    <x:row r="15">
      <x:c r="A15" s="144" t="str">
        <x:v>TOTAL</x:v>
      </x:c>
      <x:c r="B15" s="145" t="n">
        <x:f>SUM(B5:B14)</x:f>
        <x:v>3777449</x:v>
      </x:c>
      <x:c r="C15" s="145" t="n">
        <x:f>SUM(C5:C14)</x:f>
        <x:v>3777449</x:v>
      </x:c>
      <x:c r="D15" s="145" t="n">
        <x:f>SUM(D5:D14)</x:f>
        <x:v>0</x:v>
      </x:c>
      <x:c r="E15" s="145" t="n">
        <x:f>SUM(E5:E14)</x:f>
        <x:v>3777449</x:v>
      </x:c>
      <x:c r="F15" s="145" t="n">
        <x:f>SUM(F5:F14)</x:f>
        <x:v>0</x:v>
      </x:c>
      <x:c r="G15" s="145" t="n">
        <x:f>SUM(G5:G14)</x:f>
        <x:v>3777449</x:v>
      </x:c>
      <x:c r="H15" s="145" t="n">
        <x:f>SUM(H5:H14)</x:f>
        <x:v>0</x:v>
      </x:c>
    </x:row>
  </x:sheetData>
  <x:mergeCells>
    <x:mergeCell ref="A1:H1"/>
    <x:mergeCell ref="A2:H2"/>
  </x:mergeCells>
  <x:pageMargins left="0.7" right="0.7" top="0.75" bottom="0.75" header="0.3" footer="0.3"/>
</x:worksheet>
</file>