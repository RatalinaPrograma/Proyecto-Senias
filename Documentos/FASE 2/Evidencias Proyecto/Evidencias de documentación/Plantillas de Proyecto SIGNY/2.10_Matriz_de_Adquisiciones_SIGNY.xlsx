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1846d10e9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Adquisiciones" sheetId="8" r:id="R23630c7c6157429c"/>
    <x:sheet xmlns:r="http://schemas.openxmlformats.org/officeDocument/2006/relationships" name="Ejemplo" sheetId="7" r:id="R7343517bf5014ce8"/>
  </x:sheets>
</x:workbook>
</file>

<file path=xl/sharedStrings.xml><?xml version="1.0" encoding="utf-8"?>
<x:sst xmlns:x="http://schemas.openxmlformats.org/spreadsheetml/2006/main">
  <x:si>
    <x:t xml:space="preserve">2.2.1.1</x:t>
  </x:si>
  <x:si>
    <x:t xml:space="preserve">Paquete de trabajo</x:t>
  </x:si>
  <x:si>
    <x:t xml:space="preserve">Componente</x:t>
  </x:si>
  <x:si>
    <x:t xml:space="preserve">Producto</x:t>
  </x:si>
  <x:si>
    <x:t xml:space="preserve">3.1.1</x:t>
  </x:si>
  <x:si>
    <x:t xml:space="preserve">Entregable</x:t>
  </x:si>
  <x:si>
    <x:t xml:space="preserve">3.1.1.1</x:t>
  </x:si>
  <x:si>
    <x:t xml:space="preserve">Total</x:t>
  </x:si>
  <x:si>
    <x:t xml:space="preserve">Monto total de las adquisiciones.</x:t>
  </x:si>
  <x:si>
    <x:t xml:space="preserve">Nota:</x:t>
  </x:si>
  <x:si>
    <x:t xml:space="preserve">Se puede contratar a nivel de producto, entregable o paquete de trabajo. No siempre es necesario desagregar tanto las adquisiciones.</x:t>
  </x:si>
  <x:si>
    <x:t xml:space="preserve">Matriz de Adquisiciones</x:t>
  </x:si>
  <x:si>
    <x:t xml:space="preserve">Proyecto:</x:t>
  </x:si>
  <x:si>
    <x:t xml:space="preserve">Apoyo Educativo</x:t>
  </x:si>
  <x:si>
    <x:t xml:space="preserve">ID:</x:t>
  </x:si>
  <x:si>
    <x:t xml:space="preserve">HT2011-12</x:t>
  </x:si>
  <x:si>
    <x:t xml:space="preserve">Código EDT</x:t>
  </x:si>
  <x:si>
    <x:t xml:space="preserve">Estructura de la EDT</x:t>
  </x:si>
  <x:si>
    <x:t xml:space="preserve">Tipo de Adquisición</x:t>
  </x:si>
  <x:si>
    <x:t xml:space="preserve">Modalidad de Adquisición</x:t>
  </x:si>
  <x:si>
    <x:t xml:space="preserve">Fechas Estimadas</x:t>
  </x:si>
  <x:si>
    <x:t xml:space="preserve">Presupuesto Estimado</x:t>
  </x:si>
  <x:si>
    <x:t xml:space="preserve">Inicio</x:t>
  </x:si>
  <x:si>
    <x:t xml:space="preserve">Fin</x:t>
  </x:si>
  <x:si>
    <x:t xml:space="preserve">Infraestructura de calidad</x:t>
  </x:si>
  <x:si>
    <x:t xml:space="preserve">30 escuelas construidas</x:t>
  </x:si>
  <x:si>
    <x:t xml:space="preserve">1.1.1</x:t>
  </x:si>
  <x:si>
    <x:t xml:space="preserve">Empresas constructoras contratadas</x:t>
  </x:si>
  <x:si>
    <x:t xml:space="preserve">Servicios firmas</x:t>
  </x:si>
  <x:si>
    <x:t xml:space="preserve">LPN</x:t>
  </x:si>
  <x:si>
    <x:t xml:space="preserve">30 escuelas equipadas</x:t>
  </x:si>
  <x:si>
    <x:t xml:space="preserve">1.2.1</x:t>
  </x:si>
  <x:si>
    <x:t xml:space="preserve">Equipos y muebles comprados</x:t>
  </x:si>
  <x:si>
    <x:t xml:space="preserve">Bienes</x:t>
  </x:si>
  <x:si>
    <x:t xml:space="preserve">LPI</x:t>
  </x:si>
  <x:si>
    <x:t xml:space="preserve">30 escuelas con mantenimiento</x:t>
  </x:si>
  <x:si>
    <x:t xml:space="preserve">Mejora de la calidad de la educación</x:t>
  </x:si>
  <x:si>
    <x:t xml:space="preserve">Capacitación</x:t>
  </x:si>
  <x:si>
    <x:t xml:space="preserve">2.1.1</x:t>
  </x:si>
  <x:si>
    <x:t xml:space="preserve">Capacitación contratada</x:t>
  </x:si>
  <x:si>
    <x:t xml:space="preserve">Servicios Consultoría Individual</x:t>
  </x:si>
  <x:si>
    <x:t xml:space="preserve">2.1.1.1</x:t>
  </x:si>
  <x:si>
    <x:t xml:space="preserve">Materiales para capacitación desarrollados</x:t>
  </x:si>
  <x:si>
    <x:t xml:space="preserve">Apoyo y aceptación del proyecto</x:t>
  </x:si>
  <x:si>
    <x:t xml:space="preserve">Campaña de comunicación diseñada</x:t>
  </x:si>
  <x:si>
    <x:t xml:space="preserve">Campaña de comunicación difundida</x:t>
  </x:si>
  <x:si>
    <x:t xml:space="preserve">Gestión exitosa del proyecto</x:t>
  </x:si>
  <x:si>
    <x:t xml:space="preserve">Proyecto completado</x:t>
  </x:si>
  <x:si>
    <x:t xml:space="preserve">Evaluaciones completadas</x:t>
  </x:si>
  <x:si>
    <x:t xml:space="preserve">Auditorías internas y externas completadas</x:t>
  </x:si>
  <x:si>
    <x:t xml:space="preserve">LPI = Licitación Pública Internacional</x:t>
  </x:si>
  <x:si>
    <x:t xml:space="preserve">LPN = Licitación Pública Nacional</x:t>
  </x:si>
</x:sst>
</file>

<file path=xl/styles.xml><?xml version="1.0" encoding="utf-8"?>
<x:styleSheet xmlns:x="http://schemas.openxmlformats.org/spreadsheetml/2006/main">
  <x:numFmts count="3">
    <x:numFmt numFmtId="164" formatCode="_-&quot;$&quot;* #,##0.00_-;\-&quot;$&quot;* #,##0.00_-;_-&quot;$&quot;* &quot;-&quot;??_-;_-@_-"/>
    <x:numFmt numFmtId="165" formatCode="_-&quot;$&quot;* #,##0_-;\-&quot;$&quot;* #,##0_-;_-&quot;$&quot;* &quot;-&quot;??_-;_-@_-"/>
    <x:numFmt numFmtId="200" formatCode="$#,##0;[Red]($#,##0);-"/>
  </x:numFmts>
  <x:fonts count="13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0"/>
      <x:name val="Calibri"/>
    </x:font>
    <x:font>
      <x:sz val="10"/>
      <x:color theme="1"/>
      <x:name val="Calibri"/>
    </x:font>
    <x:font>
      <x:sz val="10"/>
      <x:name val="Arial"/>
    </x:font>
    <x:font>
      <x:b/>
      <x:sz val="10"/>
      <x:color theme="1"/>
      <x:name val="Calibri"/>
    </x:font>
    <x:font>
      <x:b/>
      <x:sz val="16"/>
      <x:color theme="0"/>
      <x:name val="Calibri"/>
    </x:font>
    <x:font>
      <x:b/>
      <x:sz val="10"/>
      <x:color theme="0"/>
      <x:name val="Corbel"/>
    </x:font>
    <x:font>
      <x:b/>
      <x:sz val="10"/>
      <x:color theme="1"/>
      <x:name val="Corbel"/>
    </x:font>
    <x:font>
      <x:sz val="10"/>
      <x:color theme="1"/>
      <x:name val="Corbel"/>
    </x:font>
    <x:font>
      <x:b/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rgb="FF005073"/>
      </x:patternFill>
    </x:fill>
    <x:fill>
      <x:patternFill patternType="solid">
        <x:fgColor theme="3" tint="0.39998"/>
      </x:patternFill>
    </x:fill>
    <x:fill>
      <x:patternFill patternType="solid">
        <x:fgColor theme="4" tint="0.59999"/>
      </x:patternFill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</x:fills>
  <x:borders count="4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double">
        <x:color auto="1"/>
      </x:left>
      <x:top style="double">
        <x:color auto="1"/>
      </x:top>
    </x:border>
    <x:border>
      <x:top style="double">
        <x:color auto="1"/>
      </x:top>
    </x:border>
    <x:border>
      <x:right style="double">
        <x:color auto="1"/>
      </x:right>
      <x:top style="double">
        <x:color auto="1"/>
      </x:top>
    </x:border>
    <x:border>
      <x:left style="double">
        <x:color auto="1"/>
      </x:left>
    </x:border>
    <x:border>
      <x:right style="double">
        <x:color auto="1"/>
      </x:right>
    </x:border>
    <x:border>
      <x:left style="double">
        <x:color auto="1"/>
      </x:left>
      <x:bottom style="double">
        <x:color auto="1"/>
      </x:bottom>
    </x:border>
    <x:border>
      <x:bottom style="double">
        <x:color auto="1"/>
      </x:bottom>
    </x:border>
    <x:border>
      <x:right style="double">
        <x:color auto="1"/>
      </x:right>
      <x:bottom style="double">
        <x:color auto="1"/>
      </x:bottom>
    </x:border>
    <x:border>
      <x:left style="thin">
        <x:color theme="1" tint="0.49998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thin">
        <x:color theme="1" tint="0.49998"/>
      </x:left>
      <x:right style="medium">
        <x:color indexed="64"/>
      </x:right>
      <x:top style="thin">
        <x:color theme="1" tint="0.49998"/>
      </x:top>
      <x:bottom style="thin">
        <x:color theme="1" tint="0.49998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/>
    <x:border>
      <x:left style="double">
        <x:color auto="1"/>
      </x:left>
      <x:top style="double">
        <x:color auto="1"/>
      </x:top>
    </x:border>
    <x:border>
      <x:top style="double">
        <x:color auto="1"/>
      </x:top>
    </x:border>
    <x:border>
      <x:right style="double">
        <x:color auto="1"/>
      </x:right>
      <x:top style="double">
        <x:color auto="1"/>
      </x:top>
    </x:border>
    <x:border>
      <x:left style="double">
        <x:color auto="1"/>
      </x:left>
    </x:border>
    <x:border>
      <x:right style="double">
        <x:color auto="1"/>
      </x:right>
    </x:border>
    <x:border>
      <x:left style="double">
        <x:color auto="1"/>
      </x:left>
      <x:bottom style="double">
        <x:color auto="1"/>
      </x:bottom>
    </x:border>
    <x:border>
      <x:bottom style="double">
        <x:color auto="1"/>
      </x:bottom>
    </x:border>
    <x:border>
      <x:right style="double">
        <x:color auto="1"/>
      </x:right>
      <x:bottom style="double">
        <x:color auto="1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1" tint="0.49998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medium">
        <x:color indexed="64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thin">
        <x:color theme="1" tint="0.49998"/>
      </x:left>
      <x:right style="medium">
        <x:color indexed="64"/>
      </x:right>
      <x:top style="thin">
        <x:color theme="1" tint="0.49998"/>
      </x:top>
      <x:bottom style="thin">
        <x:color theme="1" tint="0.49998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</x:borders>
  <x:cellStyleXfs count="3">
    <x:xf numFmtId="0" fontId="0" fillId="0" borderId="0"/>
    <x:xf numFmtId="164" fontId="1" fillId="0" borderId="0" applyFont="0" applyFill="0" applyBorder="0" applyAlignment="0" applyProtection="0"/>
    <x:xf numFmtId="0" fontId="4" fillId="0" borderId="0"/>
  </x:cellStyleXfs>
  <x:cellXfs count="204">
    <x:xf numFmtId="0" fontId="0" fillId="0" borderId="0" xfId="0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0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  <x:xf numFmtId="0" fontId="0" fillId="0" borderId="0" xfId="0"/>
    <x:xf numFmtId="0" fontId="3" fillId="0" borderId="0" xfId="0" applyFont="1"/>
    <x:xf numFmtId="0" fontId="0" fillId="0" borderId="0" xfId="0"/>
    <x:xf numFmtId="0" fontId="2" fillId="3" borderId="1" xfId="0" applyFont="1" applyFill="1" applyBorder="1" applyAlignment="1">
      <x:alignment horizontal="center" vertical="center" wrapText="1"/>
    </x:xf>
    <x:xf numFmtId="0" fontId="7" fillId="3" borderId="10" xfId="0" applyFont="1" applyFill="1" applyBorder="1" applyAlignment="1">
      <x:alignment vertical="top"/>
    </x:xf>
    <x:xf numFmtId="9" fontId="7" fillId="3" borderId="10" xfId="0" applyNumberFormat="1" applyFont="1" applyFill="1" applyBorder="1" applyAlignment="1">
      <x:alignment vertical="top"/>
    </x:xf>
    <x:xf numFmtId="0" fontId="7" fillId="3" borderId="10" xfId="0" applyFont="1" applyFill="1" applyBorder="1" applyAlignment="1">
      <x:alignment horizontal="right" vertical="top"/>
    </x:xf>
    <x:xf numFmtId="14" fontId="7" fillId="3" borderId="10" xfId="0" applyNumberFormat="1" applyFont="1" applyFill="1" applyBorder="1" applyAlignment="1">
      <x:alignment vertical="top"/>
    </x:xf>
    <x:xf numFmtId="0" fontId="8" fillId="4" borderId="10" xfId="0" applyFont="1" applyFill="1" applyBorder="1" applyAlignment="1">
      <x:alignment vertical="top"/>
    </x:xf>
    <x:xf numFmtId="9" fontId="8" fillId="4" borderId="10" xfId="0" applyNumberFormat="1" applyFont="1" applyFill="1" applyBorder="1" applyAlignment="1">
      <x:alignment vertical="top"/>
    </x:xf>
    <x:xf numFmtId="0" fontId="8" fillId="4" borderId="10" xfId="0" applyFont="1" applyFill="1" applyBorder="1" applyAlignment="1">
      <x:alignment horizontal="right" vertical="top"/>
    </x:xf>
    <x:xf numFmtId="14" fontId="8" fillId="4" borderId="10" xfId="0" applyNumberFormat="1" applyFont="1" applyFill="1" applyBorder="1" applyAlignment="1">
      <x:alignment vertical="top"/>
    </x:xf>
    <x:xf numFmtId="0" fontId="9" fillId="5" borderId="10" xfId="0" applyFont="1" applyFill="1" applyBorder="1" applyAlignment="1">
      <x:alignment vertical="top"/>
    </x:xf>
    <x:xf numFmtId="9" fontId="9" fillId="5" borderId="10" xfId="0" applyNumberFormat="1" applyFont="1" applyFill="1" applyBorder="1" applyAlignment="1">
      <x:alignment vertical="top"/>
    </x:xf>
    <x:xf numFmtId="0" fontId="9" fillId="5" borderId="10" xfId="0" applyFont="1" applyFill="1" applyBorder="1" applyAlignment="1">
      <x:alignment horizontal="right" vertical="top" wrapText="1"/>
    </x:xf>
    <x:xf numFmtId="14" fontId="9" fillId="5" borderId="10" xfId="0" applyNumberFormat="1" applyFont="1" applyFill="1" applyBorder="1" applyAlignment="1">
      <x:alignment vertical="top"/>
    </x:xf>
    <x:xf numFmtId="0" fontId="9" fillId="5" borderId="10" xfId="0" applyFont="1" applyFill="1" applyBorder="1" applyAlignment="1">
      <x:alignment vertical="center"/>
    </x:xf>
    <x:xf numFmtId="9" fontId="9" fillId="5" borderId="10" xfId="0" applyNumberFormat="1" applyFont="1" applyFill="1" applyBorder="1" applyAlignment="1">
      <x:alignment vertical="center" wrapText="1"/>
    </x:xf>
    <x:xf numFmtId="0" fontId="9" fillId="5" borderId="10" xfId="0" applyFont="1" applyFill="1" applyBorder="1" applyAlignment="1">
      <x:alignment horizontal="center" vertical="top" wrapText="1"/>
    </x:xf>
    <x:xf numFmtId="0" fontId="9" fillId="5" borderId="10" xfId="0" applyFont="1" applyFill="1" applyBorder="1" applyAlignment="1">
      <x:alignment horizontal="center" vertical="center" wrapText="1"/>
    </x:xf>
    <x:xf numFmtId="0" fontId="9" fillId="6" borderId="10" xfId="0" applyFont="1" applyFill="1" applyBorder="1" applyAlignment="1">
      <x:alignment vertical="top"/>
    </x:xf>
    <x:xf numFmtId="9" fontId="9" fillId="6" borderId="10" xfId="0" applyNumberFormat="1" applyFont="1" applyFill="1" applyBorder="1" applyAlignment="1">
      <x:alignment vertical="top"/>
    </x:xf>
    <x:xf numFmtId="0" fontId="9" fillId="6" borderId="10" xfId="0" applyFont="1" applyFill="1" applyBorder="1" applyAlignment="1">
      <x:alignment horizontal="right" vertical="top" wrapText="1"/>
    </x:xf>
    <x:xf numFmtId="14" fontId="9" fillId="6" borderId="10" xfId="0" applyNumberFormat="1" applyFont="1" applyFill="1" applyBorder="1" applyAlignment="1">
      <x:alignment vertical="top"/>
    </x:xf>
    <x:xf numFmtId="0" fontId="0" fillId="0" borderId="0" xfId="0" applyAlignment="1">
      <x:alignment wrapText="1"/>
    </x:xf>
    <x:xf numFmtId="0" fontId="10" fillId="0" borderId="0" xfId="0" applyFont="1"/>
    <x:xf numFmtId="9" fontId="9" fillId="5" borderId="10" xfId="0" applyNumberFormat="1" applyFont="1" applyFill="1" applyBorder="1" applyAlignment="1">
      <x:alignment horizontal="center" vertical="center" wrapText="1"/>
    </x:xf>
    <x:xf numFmtId="9" fontId="8" fillId="4" borderId="10" xfId="0" applyNumberFormat="1" applyFont="1" applyFill="1" applyBorder="1" applyAlignment="1">
      <x:alignment horizontal="center" vertical="top"/>
    </x:xf>
    <x:xf numFmtId="9" fontId="9" fillId="5" borderId="10" xfId="0" applyNumberFormat="1" applyFont="1" applyFill="1" applyBorder="1" applyAlignment="1">
      <x:alignment horizontal="center" vertical="top"/>
    </x:xf>
    <x:xf numFmtId="9" fontId="7" fillId="3" borderId="10" xfId="0" applyNumberFormat="1" applyFont="1" applyFill="1" applyBorder="1" applyAlignment="1">
      <x:alignment horizontal="center" vertical="top"/>
    </x:xf>
    <x:xf numFmtId="9" fontId="9" fillId="4" borderId="10" xfId="0" applyNumberFormat="1" applyFont="1" applyFill="1" applyBorder="1" applyAlignment="1">
      <x:alignment horizontal="center" vertical="top"/>
    </x:xf>
    <x:xf numFmtId="0" fontId="9" fillId="4" borderId="10" xfId="0" applyFont="1" applyFill="1" applyBorder="1" applyAlignment="1">
      <x:alignment horizontal="center" vertical="top"/>
    </x:xf>
    <x:xf numFmtId="0" fontId="9" fillId="6" borderId="10" xfId="0" applyFont="1" applyFill="1" applyBorder="1" applyAlignment="1">
      <x:alignment horizontal="center" vertical="top"/>
    </x:xf>
    <x:xf numFmtId="0" fontId="7" fillId="3" borderId="16" xfId="0" applyFont="1" applyFill="1" applyBorder="1" applyAlignment="1">
      <x:alignment horizontal="left" vertical="center"/>
    </x:xf>
    <x:xf numFmtId="14" fontId="7" fillId="3" borderId="17" xfId="0" applyNumberFormat="1" applyFont="1" applyFill="1" applyBorder="1" applyAlignment="1">
      <x:alignment vertical="top"/>
    </x:xf>
    <x:xf numFmtId="0" fontId="8" fillId="4" borderId="16" xfId="0" applyFont="1" applyFill="1" applyBorder="1" applyAlignment="1">
      <x:alignment horizontal="left" vertical="center"/>
    </x:xf>
    <x:xf numFmtId="14" fontId="8" fillId="4" borderId="17" xfId="0" applyNumberFormat="1" applyFont="1" applyFill="1" applyBorder="1" applyAlignment="1">
      <x:alignment vertical="top"/>
    </x:xf>
    <x:xf numFmtId="0" fontId="9" fillId="5" borderId="16" xfId="0" applyFont="1" applyFill="1" applyBorder="1" applyAlignment="1">
      <x:alignment horizontal="left" vertical="center"/>
    </x:xf>
    <x:xf numFmtId="0" fontId="9" fillId="5" borderId="17" xfId="0" applyFont="1" applyFill="1" applyBorder="1" applyAlignment="1">
      <x:alignment vertical="center" wrapText="1"/>
    </x:xf>
    <x:xf numFmtId="0" fontId="9" fillId="6" borderId="16" xfId="0" applyFont="1" applyFill="1" applyBorder="1" applyAlignment="1">
      <x:alignment horizontal="left" vertical="center"/>
    </x:xf>
    <x:xf numFmtId="14" fontId="9" fillId="6" borderId="17" xfId="0" applyNumberFormat="1" applyFont="1" applyFill="1" applyBorder="1" applyAlignment="1">
      <x:alignment vertical="top"/>
    </x:xf>
    <x:xf numFmtId="14" fontId="9" fillId="5" borderId="17" xfId="0" applyNumberFormat="1" applyFont="1" applyFill="1" applyBorder="1" applyAlignment="1">
      <x:alignment vertical="top"/>
    </x:xf>
    <x:xf numFmtId="164" fontId="3" fillId="0" borderId="21" xfId="1" applyFont="1" applyBorder="1" applyAlignment="1">
      <x:alignment horizontal="left" vertical="top" wrapText="1"/>
    </x:xf>
    <x:xf numFmtId="0" fontId="2" fillId="3" borderId="11" xfId="0" applyFont="1" applyFill="1" applyBorder="1" applyAlignment="1">
      <x:alignment horizontal="right"/>
    </x:xf>
    <x:xf numFmtId="0" fontId="2" fillId="3" borderId="22" xfId="0" applyFont="1" applyFill="1" applyBorder="1" applyAlignment="1">
      <x:alignment horizontal="right"/>
    </x:xf>
    <x:xf numFmtId="165" fontId="7" fillId="3" borderId="17" xfId="0" applyNumberFormat="1" applyFont="1" applyFill="1" applyBorder="1" applyAlignment="1">
      <x:alignment vertical="top"/>
    </x:xf>
    <x:xf numFmtId="165" fontId="9" fillId="5" borderId="17" xfId="1" applyNumberFormat="1" applyFont="1" applyFill="1" applyBorder="1" applyAlignment="1">
      <x:alignment vertical="center" wrapText="1"/>
    </x:xf>
    <x:xf numFmtId="164" fontId="8" fillId="4" borderId="17" xfId="1" applyFont="1" applyFill="1" applyBorder="1" applyAlignment="1">
      <x:alignment vertical="top"/>
    </x:xf>
    <x:xf numFmtId="165" fontId="9" fillId="6" borderId="17" xfId="1" applyNumberFormat="1" applyFont="1" applyFill="1" applyBorder="1" applyAlignment="1">
      <x:alignment vertical="top"/>
    </x:xf>
    <x:xf numFmtId="165" fontId="8" fillId="4" borderId="17" xfId="1" applyNumberFormat="1" applyFont="1" applyFill="1" applyBorder="1" applyAlignment="1">
      <x:alignment vertical="top"/>
    </x:xf>
    <x:xf numFmtId="165" fontId="5" fillId="0" borderId="21" xfId="1" applyNumberFormat="1" applyFont="1" applyBorder="1" applyAlignment="1">
      <x:alignment horizontal="left" vertical="top" wrapText="1"/>
    </x:xf>
    <x:xf numFmtId="0" fontId="2" fillId="3" borderId="18" xfId="0" applyFont="1" applyFill="1" applyBorder="1" applyAlignment="1">
      <x:alignment horizontal="right" vertical="top" wrapText="1"/>
    </x:xf>
    <x:xf numFmtId="0" fontId="2" fillId="3" borderId="19" xfId="0" applyFont="1" applyFill="1" applyBorder="1" applyAlignment="1">
      <x:alignment horizontal="right" vertical="top" wrapText="1"/>
    </x:xf>
    <x:xf numFmtId="0" fontId="2" fillId="3" borderId="20" xfId="0" applyFont="1" applyFill="1" applyBorder="1" applyAlignment="1">
      <x:alignment horizontal="right" vertical="top" wrapText="1"/>
    </x:xf>
    <x:xf numFmtId="0" fontId="6" fillId="2" borderId="0" xfId="0" applyFont="1" applyFill="1" applyBorder="1" applyAlignment="1">
      <x:alignment horizontal="center" vertical="top"/>
    </x:xf>
    <x:xf numFmtId="0" fontId="3" fillId="0" borderId="12" xfId="0" applyFont="1" applyBorder="1" applyAlignment="1">
      <x:alignment horizontal="left" vertical="top"/>
    </x:xf>
    <x:xf numFmtId="0" fontId="3" fillId="0" borderId="13" xfId="0" applyFont="1" applyBorder="1" applyAlignment="1">
      <x:alignment horizontal="left" vertical="top"/>
    </x:xf>
    <x:xf numFmtId="0" fontId="3" fillId="0" borderId="23" xfId="0" applyFont="1" applyBorder="1" applyAlignment="1">
      <x:alignment horizontal="left" vertical="top"/>
    </x:xf>
    <x:xf numFmtId="0" fontId="3" fillId="0" borderId="21" xfId="0" applyFont="1" applyBorder="1" applyAlignment="1">
      <x:alignment horizontal="left" vertical="top"/>
    </x:xf>
    <x:xf numFmtId="0" fontId="2" fillId="3" borderId="11" xfId="0" applyFont="1" applyFill="1" applyBorder="1" applyAlignment="1">
      <x:alignment horizontal="center" vertical="center" wrapText="1"/>
    </x:xf>
    <x:xf numFmtId="0" fontId="2" fillId="3" borderId="14" xfId="0" applyFont="1" applyFill="1" applyBorder="1" applyAlignment="1">
      <x:alignment horizontal="center" vertical="center" wrapText="1"/>
    </x:xf>
    <x:xf numFmtId="0" fontId="2" fillId="3" borderId="12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13" xfId="0" applyFont="1" applyFill="1" applyBorder="1" applyAlignment="1">
      <x:alignment horizontal="center" vertical="center" wrapText="1"/>
    </x:xf>
    <x:xf numFmtId="0" fontId="2" fillId="3" borderId="15" xfId="0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3" fillId="0" borderId="24" xfId="0" applyNumberFormat="1" applyFont="1" applyFill="1" applyBorder="1"/>
    <x:xf numFmtId="0" fontId="2" fillId="3" borderId="33" xfId="0" applyNumberFormat="1" applyFont="1" applyFill="1" applyBorder="1" applyAlignment="1">
      <x:alignment horizontal="center" vertical="center" wrapText="1"/>
    </x:xf>
    <x:xf numFmtId="0" fontId="7" fillId="3" borderId="34" xfId="0" applyNumberFormat="1" applyFont="1" applyFill="1" applyBorder="1" applyAlignment="1">
      <x:alignment vertical="top"/>
    </x:xf>
    <x:xf numFmtId="9" fontId="7" fillId="3" borderId="34" xfId="0" applyNumberFormat="1" applyFont="1" applyFill="1" applyBorder="1" applyAlignment="1">
      <x:alignment vertical="top"/>
    </x:xf>
    <x:xf numFmtId="0" fontId="7" fillId="3" borderId="34" xfId="0" applyNumberFormat="1" applyFont="1" applyFill="1" applyBorder="1" applyAlignment="1">
      <x:alignment horizontal="right" vertical="top"/>
    </x:xf>
    <x:xf numFmtId="14" fontId="7" fillId="3" borderId="34" xfId="0" applyNumberFormat="1" applyFont="1" applyFill="1" applyBorder="1" applyAlignment="1">
      <x:alignment vertical="top"/>
    </x:xf>
    <x:xf numFmtId="0" fontId="8" fillId="4" borderId="34" xfId="0" applyNumberFormat="1" applyFont="1" applyFill="1" applyBorder="1" applyAlignment="1">
      <x:alignment vertical="top"/>
    </x:xf>
    <x:xf numFmtId="9" fontId="8" fillId="4" borderId="34" xfId="0" applyNumberFormat="1" applyFont="1" applyFill="1" applyBorder="1" applyAlignment="1">
      <x:alignment vertical="top"/>
    </x:xf>
    <x:xf numFmtId="0" fontId="8" fillId="4" borderId="34" xfId="0" applyNumberFormat="1" applyFont="1" applyFill="1" applyBorder="1" applyAlignment="1">
      <x:alignment horizontal="right" vertical="top"/>
    </x:xf>
    <x:xf numFmtId="14" fontId="8" fillId="4" borderId="34" xfId="0" applyNumberFormat="1" applyFont="1" applyFill="1" applyBorder="1" applyAlignment="1">
      <x:alignment vertical="top"/>
    </x:xf>
    <x:xf numFmtId="0" fontId="9" fillId="5" borderId="34" xfId="0" applyNumberFormat="1" applyFont="1" applyFill="1" applyBorder="1" applyAlignment="1">
      <x:alignment vertical="top"/>
    </x:xf>
    <x:xf numFmtId="9" fontId="9" fillId="5" borderId="34" xfId="0" applyNumberFormat="1" applyFont="1" applyFill="1" applyBorder="1" applyAlignment="1">
      <x:alignment vertical="top"/>
    </x:xf>
    <x:xf numFmtId="0" fontId="9" fillId="5" borderId="34" xfId="0" applyNumberFormat="1" applyFont="1" applyFill="1" applyBorder="1" applyAlignment="1">
      <x:alignment horizontal="right" vertical="top" wrapText="1"/>
    </x:xf>
    <x:xf numFmtId="14" fontId="9" fillId="5" borderId="34" xfId="0" applyNumberFormat="1" applyFont="1" applyFill="1" applyBorder="1" applyAlignment="1">
      <x:alignment vertical="top"/>
    </x:xf>
    <x:xf numFmtId="0" fontId="9" fillId="5" borderId="34" xfId="0" applyNumberFormat="1" applyFont="1" applyFill="1" applyBorder="1" applyAlignment="1">
      <x:alignment vertical="center"/>
    </x:xf>
    <x:xf numFmtId="9" fontId="9" fillId="5" borderId="34" xfId="0" applyNumberFormat="1" applyFont="1" applyFill="1" applyBorder="1" applyAlignment="1">
      <x:alignment vertical="center" wrapText="1"/>
    </x:xf>
    <x:xf numFmtId="0" fontId="9" fillId="5" borderId="34" xfId="0" applyNumberFormat="1" applyFont="1" applyFill="1" applyBorder="1" applyAlignment="1">
      <x:alignment horizontal="center" vertical="top" wrapText="1"/>
    </x:xf>
    <x:xf numFmtId="0" fontId="9" fillId="5" borderId="34" xfId="0" applyNumberFormat="1" applyFont="1" applyFill="1" applyBorder="1" applyAlignment="1">
      <x:alignment horizontal="center" vertical="center" wrapText="1"/>
    </x:xf>
    <x:xf numFmtId="0" fontId="9" fillId="6" borderId="34" xfId="0" applyNumberFormat="1" applyFont="1" applyFill="1" applyBorder="1" applyAlignment="1">
      <x:alignment vertical="top"/>
    </x:xf>
    <x:xf numFmtId="9" fontId="9" fillId="6" borderId="34" xfId="0" applyNumberFormat="1" applyFont="1" applyFill="1" applyBorder="1" applyAlignment="1">
      <x:alignment vertical="top"/>
    </x:xf>
    <x:xf numFmtId="0" fontId="9" fillId="6" borderId="34" xfId="0" applyNumberFormat="1" applyFont="1" applyFill="1" applyBorder="1" applyAlignment="1">
      <x:alignment horizontal="right" vertical="top" wrapText="1"/>
    </x:xf>
    <x:xf numFmtId="14" fontId="9" fillId="6" borderId="34" xfId="0" applyNumberFormat="1" applyFont="1" applyFill="1" applyBorder="1" applyAlignment="1">
      <x:alignment vertical="top"/>
    </x:xf>
    <x:xf numFmtId="0" fontId="0" fillId="0" borderId="24" xfId="0" applyNumberFormat="1" applyFont="1" applyFill="1" applyBorder="1" applyAlignment="1">
      <x:alignment wrapText="1"/>
    </x:xf>
    <x:xf numFmtId="0" fontId="10" fillId="0" borderId="24" xfId="0" applyNumberFormat="1" applyFont="1" applyFill="1" applyBorder="1"/>
    <x:xf numFmtId="9" fontId="9" fillId="5" borderId="34" xfId="0" applyNumberFormat="1" applyFont="1" applyFill="1" applyBorder="1" applyAlignment="1">
      <x:alignment horizontal="center" vertical="center" wrapText="1"/>
    </x:xf>
    <x:xf numFmtId="9" fontId="8" fillId="4" borderId="34" xfId="0" applyNumberFormat="1" applyFont="1" applyFill="1" applyBorder="1" applyAlignment="1">
      <x:alignment horizontal="center" vertical="top"/>
    </x:xf>
    <x:xf numFmtId="9" fontId="9" fillId="5" borderId="34" xfId="0" applyNumberFormat="1" applyFont="1" applyFill="1" applyBorder="1" applyAlignment="1">
      <x:alignment horizontal="center" vertical="top"/>
    </x:xf>
    <x:xf numFmtId="9" fontId="7" fillId="3" borderId="34" xfId="0" applyNumberFormat="1" applyFont="1" applyFill="1" applyBorder="1" applyAlignment="1">
      <x:alignment horizontal="center" vertical="top"/>
    </x:xf>
    <x:xf numFmtId="9" fontId="9" fillId="4" borderId="34" xfId="0" applyNumberFormat="1" applyFont="1" applyFill="1" applyBorder="1" applyAlignment="1">
      <x:alignment horizontal="center" vertical="top"/>
    </x:xf>
    <x:xf numFmtId="0" fontId="9" fillId="4" borderId="34" xfId="0" applyNumberFormat="1" applyFont="1" applyFill="1" applyBorder="1" applyAlignment="1">
      <x:alignment horizontal="center" vertical="top"/>
    </x:xf>
    <x:xf numFmtId="0" fontId="9" fillId="6" borderId="34" xfId="0" applyNumberFormat="1" applyFont="1" applyFill="1" applyBorder="1" applyAlignment="1">
      <x:alignment horizontal="center" vertical="top"/>
    </x:xf>
    <x:xf numFmtId="0" fontId="7" fillId="3" borderId="35" xfId="0" applyNumberFormat="1" applyFont="1" applyFill="1" applyBorder="1" applyAlignment="1">
      <x:alignment horizontal="left" vertical="center"/>
    </x:xf>
    <x:xf numFmtId="14" fontId="7" fillId="3" borderId="36" xfId="0" applyNumberFormat="1" applyFont="1" applyFill="1" applyBorder="1" applyAlignment="1">
      <x:alignment vertical="top"/>
    </x:xf>
    <x:xf numFmtId="0" fontId="8" fillId="4" borderId="35" xfId="0" applyNumberFormat="1" applyFont="1" applyFill="1" applyBorder="1" applyAlignment="1">
      <x:alignment horizontal="left" vertical="center"/>
    </x:xf>
    <x:xf numFmtId="14" fontId="8" fillId="4" borderId="36" xfId="0" applyNumberFormat="1" applyFont="1" applyFill="1" applyBorder="1" applyAlignment="1">
      <x:alignment vertical="top"/>
    </x:xf>
    <x:xf numFmtId="0" fontId="9" fillId="5" borderId="35" xfId="0" applyNumberFormat="1" applyFont="1" applyFill="1" applyBorder="1" applyAlignment="1">
      <x:alignment horizontal="left" vertical="center"/>
    </x:xf>
    <x:xf numFmtId="0" fontId="9" fillId="5" borderId="36" xfId="0" applyNumberFormat="1" applyFont="1" applyFill="1" applyBorder="1" applyAlignment="1">
      <x:alignment vertical="center" wrapText="1"/>
    </x:xf>
    <x:xf numFmtId="0" fontId="9" fillId="6" borderId="35" xfId="0" applyNumberFormat="1" applyFont="1" applyFill="1" applyBorder="1" applyAlignment="1">
      <x:alignment horizontal="left" vertical="center"/>
    </x:xf>
    <x:xf numFmtId="14" fontId="9" fillId="6" borderId="36" xfId="0" applyNumberFormat="1" applyFont="1" applyFill="1" applyBorder="1" applyAlignment="1">
      <x:alignment vertical="top"/>
    </x:xf>
    <x:xf numFmtId="14" fontId="9" fillId="5" borderId="36" xfId="0" applyNumberFormat="1" applyFont="1" applyFill="1" applyBorder="1" applyAlignment="1">
      <x:alignment vertical="top"/>
    </x:xf>
    <x:xf numFmtId="164" fontId="3" fillId="0" borderId="37" xfId="0" applyNumberFormat="1" applyFont="1" applyFill="1" applyBorder="1" applyAlignment="1">
      <x:alignment horizontal="left" vertical="top" wrapText="1"/>
    </x:xf>
    <x:xf numFmtId="0" fontId="2" fillId="3" borderId="38" xfId="0" applyNumberFormat="1" applyFont="1" applyFill="1" applyBorder="1" applyAlignment="1">
      <x:alignment horizontal="right"/>
    </x:xf>
    <x:xf numFmtId="0" fontId="2" fillId="3" borderId="39" xfId="0" applyNumberFormat="1" applyFont="1" applyFill="1" applyBorder="1" applyAlignment="1">
      <x:alignment horizontal="right"/>
    </x:xf>
    <x:xf numFmtId="165" fontId="7" fillId="3" borderId="36" xfId="0" applyNumberFormat="1" applyFont="1" applyFill="1" applyBorder="1" applyAlignment="1">
      <x:alignment vertical="top"/>
    </x:xf>
    <x:xf numFmtId="165" fontId="9" fillId="5" borderId="36" xfId="0" applyNumberFormat="1" applyFont="1" applyFill="1" applyBorder="1" applyAlignment="1">
      <x:alignment vertical="center" wrapText="1"/>
    </x:xf>
    <x:xf numFmtId="164" fontId="8" fillId="4" borderId="36" xfId="0" applyNumberFormat="1" applyFont="1" applyFill="1" applyBorder="1" applyAlignment="1">
      <x:alignment vertical="top"/>
    </x:xf>
    <x:xf numFmtId="165" fontId="9" fillId="6" borderId="36" xfId="0" applyNumberFormat="1" applyFont="1" applyFill="1" applyBorder="1" applyAlignment="1">
      <x:alignment vertical="top"/>
    </x:xf>
    <x:xf numFmtId="165" fontId="8" fillId="4" borderId="36" xfId="0" applyNumberFormat="1" applyFont="1" applyFill="1" applyBorder="1" applyAlignment="1">
      <x:alignment vertical="top"/>
    </x:xf>
    <x:xf numFmtId="165" fontId="5" fillId="0" borderId="37" xfId="0" applyNumberFormat="1" applyFont="1" applyFill="1" applyBorder="1" applyAlignment="1">
      <x:alignment horizontal="left" vertical="top" wrapText="1"/>
    </x:xf>
    <x:xf numFmtId="0" fontId="2" fillId="3" borderId="40" xfId="0" applyNumberFormat="1" applyFont="1" applyFill="1" applyBorder="1" applyAlignment="1">
      <x:alignment horizontal="right" vertical="top" wrapText="1"/>
    </x:xf>
    <x:xf numFmtId="0" fontId="2" fillId="3" borderId="41" xfId="0" applyNumberFormat="1" applyFont="1" applyFill="1" applyBorder="1" applyAlignment="1">
      <x:alignment horizontal="right" vertical="top" wrapText="1"/>
    </x:xf>
    <x:xf numFmtId="0" fontId="2" fillId="3" borderId="42" xfId="0" applyNumberFormat="1" applyFont="1" applyFill="1" applyBorder="1" applyAlignment="1">
      <x:alignment horizontal="right" vertical="top" wrapText="1"/>
    </x:xf>
    <x:xf numFmtId="0" fontId="6" fillId="2" borderId="24" xfId="0" applyNumberFormat="1" applyFont="1" applyFill="1" applyBorder="1" applyAlignment="1">
      <x:alignment horizontal="center" vertical="top"/>
    </x:xf>
    <x:xf numFmtId="0" fontId="3" fillId="0" borderId="43" xfId="0" applyNumberFormat="1" applyFont="1" applyFill="1" applyBorder="1" applyAlignment="1">
      <x:alignment horizontal="left" vertical="top"/>
    </x:xf>
    <x:xf numFmtId="0" fontId="3" fillId="0" borderId="44" xfId="0" applyNumberFormat="1" applyFont="1" applyFill="1" applyBorder="1" applyAlignment="1">
      <x:alignment horizontal="left" vertical="top"/>
    </x:xf>
    <x:xf numFmtId="0" fontId="3" fillId="0" borderId="45" xfId="0" applyNumberFormat="1" applyFont="1" applyFill="1" applyBorder="1" applyAlignment="1">
      <x:alignment horizontal="left" vertical="top"/>
    </x:xf>
    <x:xf numFmtId="0" fontId="3" fillId="0" borderId="37" xfId="0" applyNumberFormat="1" applyFont="1" applyFill="1" applyBorder="1" applyAlignment="1">
      <x:alignment horizontal="left" vertical="top"/>
    </x:xf>
    <x:xf numFmtId="0" fontId="2" fillId="3" borderId="38" xfId="0" applyNumberFormat="1" applyFont="1" applyFill="1" applyBorder="1" applyAlignment="1">
      <x:alignment horizontal="center" vertical="center" wrapText="1"/>
    </x:xf>
    <x:xf numFmtId="0" fontId="2" fillId="3" borderId="46" xfId="0" applyNumberFormat="1" applyFont="1" applyFill="1" applyBorder="1" applyAlignment="1">
      <x:alignment horizontal="center" vertical="center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2" fillId="3" borderId="47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top"/>
    </x:xf>
    <x:xf numFmtId="0" fontId="11" fillId="7" borderId="0" xfId="0" applyNumberFormat="1" applyFont="1" applyFill="1" applyBorder="1" applyAlignment="1">
      <x:alignment horizontal="center" vertical="top"/>
    </x:xf>
    <x:xf numFmtId="0" fontId="11" fillId="7" borderId="0" xfId="0" applyNumberFormat="1" applyFont="1" applyFill="1" applyBorder="1" applyAlignment="1">
      <x:alignment horizontal="center" vertical="center"/>
    </x:xf>
    <x:xf numFmtId="0" fontId="6" fillId="7" borderId="24" xfId="0" applyNumberFormat="1" applyFont="1" applyFill="1" applyBorder="1" applyAlignment="1">
      <x:alignment horizontal="center" vertical="top"/>
    </x:xf>
    <x:xf numFmtId="0" fontId="11" fillId="7" borderId="24" xfId="0" applyNumberFormat="1" applyFont="1" applyFill="1" applyBorder="1" applyAlignment="1">
      <x:alignment horizontal="center" vertical="top"/>
    </x:xf>
    <x:xf numFmtId="0" fontId="11" fillId="7" borderId="24" xfId="0" applyNumberFormat="1" applyFont="1" applyFill="1" applyBorder="1" applyAlignment="1">
      <x:alignment horizontal="center" vertical="center"/>
    </x:xf>
    <x:xf numFmtId="0" fontId="2" fillId="7" borderId="11" xfId="0" applyNumberFormat="1" applyFont="1" applyFill="1" applyBorder="1" applyAlignment="1">
      <x:alignment horizontal="center" vertical="center" wrapText="1"/>
    </x:xf>
    <x:xf numFmtId="0" fontId="2" fillId="7" borderId="12" xfId="0" applyNumberFormat="1" applyFont="1" applyFill="1" applyBorder="1" applyAlignment="1">
      <x:alignment horizontal="center" vertical="center" wrapText="1"/>
    </x:xf>
    <x:xf numFmtId="0" fontId="2" fillId="7" borderId="13" xfId="0" applyNumberFormat="1" applyFont="1" applyFill="1" applyBorder="1" applyAlignment="1">
      <x:alignment horizontal="center" vertical="center" wrapText="1"/>
    </x:xf>
    <x:xf numFmtId="0" fontId="12" fillId="7" borderId="11" xfId="0" applyNumberFormat="1" applyFont="1" applyFill="1" applyBorder="1" applyAlignment="1">
      <x:alignment horizontal="center" vertical="center" wrapText="1"/>
    </x:xf>
    <x:xf numFmtId="0" fontId="12" fillId="7" borderId="12" xfId="0" applyNumberFormat="1" applyFont="1" applyFill="1" applyBorder="1" applyAlignment="1">
      <x:alignment horizontal="center" vertical="center" wrapText="1"/>
    </x:xf>
    <x:xf numFmtId="0" fontId="12" fillId="7" borderId="13" xfId="0" applyNumberFormat="1" applyFont="1" applyFill="1" applyBorder="1" applyAlignment="1">
      <x:alignment horizontal="center" vertical="center" wrapText="1"/>
    </x:xf>
    <x:xf numFmtId="0" fontId="2" fillId="7" borderId="38" xfId="0" applyNumberFormat="1" applyFont="1" applyFill="1" applyBorder="1" applyAlignment="1">
      <x:alignment horizontal="center" vertical="center" wrapText="1"/>
    </x:xf>
    <x:xf numFmtId="0" fontId="2" fillId="7" borderId="43" xfId="0" applyNumberFormat="1" applyFont="1" applyFill="1" applyBorder="1" applyAlignment="1">
      <x:alignment horizontal="center" vertical="center" wrapText="1"/>
    </x:xf>
    <x:xf numFmtId="0" fontId="2" fillId="7" borderId="44" xfId="0" applyNumberFormat="1" applyFont="1" applyFill="1" applyBorder="1" applyAlignment="1">
      <x:alignment horizontal="center" vertical="center" wrapText="1"/>
    </x:xf>
    <x:xf numFmtId="0" fontId="12" fillId="7" borderId="38" xfId="0" applyNumberFormat="1" applyFont="1" applyFill="1" applyBorder="1" applyAlignment="1">
      <x:alignment horizontal="center" vertical="center" wrapText="1"/>
    </x:xf>
    <x:xf numFmtId="0" fontId="12" fillId="7" borderId="43" xfId="0" applyNumberFormat="1" applyFont="1" applyFill="1" applyBorder="1" applyAlignment="1">
      <x:alignment horizontal="center" vertical="center" wrapText="1"/>
    </x:xf>
    <x:xf numFmtId="0" fontId="12" fillId="7" borderId="44" xfId="0" applyNumberFormat="1" applyFont="1" applyFill="1" applyBorder="1" applyAlignment="1">
      <x:alignment horizontal="center" vertical="center" wrapText="1"/>
    </x:xf>
    <x:xf numFmtId="200" fontId="2" fillId="3" borderId="15" xfId="0" applyNumberFormat="1" applyFont="1" applyFill="1" applyBorder="1" applyAlignment="1">
      <x:alignment horizontal="center" vertical="center" wrapText="1"/>
    </x:xf>
    <x:xf numFmtId="200" fontId="7" fillId="3" borderId="17" xfId="0" applyNumberFormat="1" applyFont="1" applyFill="1" applyBorder="1" applyAlignment="1">
      <x:alignment vertical="top"/>
    </x:xf>
    <x:xf numFmtId="200" fontId="8" fillId="4" borderId="17" xfId="0" applyNumberFormat="1" applyFont="1" applyFill="1" applyBorder="1" applyAlignment="1">
      <x:alignment vertical="top"/>
    </x:xf>
    <x:xf numFmtId="200" fontId="9" fillId="5" borderId="17" xfId="0" applyNumberFormat="1" applyFont="1" applyFill="1" applyBorder="1" applyAlignment="1">
      <x:alignment vertical="center" wrapText="1"/>
    </x:xf>
    <x:xf numFmtId="200" fontId="9" fillId="6" borderId="17" xfId="0" applyNumberFormat="1" applyFont="1" applyFill="1" applyBorder="1" applyAlignment="1">
      <x:alignment vertical="top"/>
    </x:xf>
    <x:xf numFmtId="200" fontId="9" fillId="5" borderId="17" xfId="0" applyNumberFormat="1" applyFont="1" applyFill="1" applyBorder="1" applyAlignment="1">
      <x:alignment vertical="top"/>
    </x:xf>
    <x:xf numFmtId="200" fontId="2" fillId="3" borderId="47" xfId="0" applyNumberFormat="1" applyFont="1" applyFill="1" applyBorder="1" applyAlignment="1">
      <x:alignment horizontal="center" vertical="center" wrapText="1"/>
    </x:xf>
    <x:xf numFmtId="200" fontId="7" fillId="3" borderId="36" xfId="0" applyNumberFormat="1" applyFont="1" applyFill="1" applyBorder="1" applyAlignment="1">
      <x:alignment vertical="top"/>
    </x:xf>
    <x:xf numFmtId="200" fontId="8" fillId="4" borderId="36" xfId="0" applyNumberFormat="1" applyFont="1" applyFill="1" applyBorder="1" applyAlignment="1">
      <x:alignment vertical="top"/>
    </x:xf>
    <x:xf numFmtId="200" fontId="9" fillId="5" borderId="36" xfId="0" applyNumberFormat="1" applyFont="1" applyFill="1" applyBorder="1" applyAlignment="1">
      <x:alignment vertical="center" wrapText="1"/>
    </x:xf>
    <x:xf numFmtId="200" fontId="9" fillId="6" borderId="36" xfId="0" applyNumberFormat="1" applyFont="1" applyFill="1" applyBorder="1" applyAlignment="1">
      <x:alignment vertical="top"/>
    </x:xf>
    <x:xf numFmtId="200" fontId="9" fillId="5" borderId="36" xfId="0" applyNumberFormat="1" applyFont="1" applyFill="1" applyBorder="1" applyAlignment="1">
      <x:alignment vertical="top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3" borderId="16" xfId="0" applyNumberFormat="1" applyFont="1" applyFill="1" applyBorder="1" applyAlignment="1">
      <x:alignment horizontal="left" vertical="center" wrapText="1"/>
    </x:xf>
    <x:xf numFmtId="0" fontId="7" fillId="3" borderId="10" xfId="0" applyNumberFormat="1" applyFont="1" applyFill="1" applyBorder="1" applyAlignment="1">
      <x:alignment vertical="top" wrapText="1"/>
    </x:xf>
    <x:xf numFmtId="9" fontId="7" fillId="3" borderId="10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horizontal="right" vertical="top" wrapText="1"/>
    </x:xf>
    <x:xf numFmtId="14" fontId="7" fillId="3" borderId="10" xfId="0" applyNumberFormat="1" applyFont="1" applyFill="1" applyBorder="1" applyAlignment="1">
      <x:alignment vertical="top" wrapText="1"/>
    </x:xf>
    <x:xf numFmtId="200" fontId="7" fillId="3" borderId="17" xfId="0" applyNumberFormat="1" applyFont="1" applyFill="1" applyBorder="1" applyAlignment="1">
      <x:alignment vertical="top" wrapText="1"/>
    </x:xf>
    <x:xf numFmtId="0" fontId="8" fillId="4" borderId="16" xfId="0" applyNumberFormat="1" applyFont="1" applyFill="1" applyBorder="1" applyAlignment="1">
      <x:alignment horizontal="left" vertical="center" wrapText="1"/>
    </x:xf>
    <x:xf numFmtId="0" fontId="8" fillId="4" borderId="10" xfId="0" applyNumberFormat="1" applyFont="1" applyFill="1" applyBorder="1" applyAlignment="1">
      <x:alignment vertical="top" wrapText="1"/>
    </x:xf>
    <x:xf numFmtId="9" fontId="8" fillId="4" borderId="10" xfId="0" applyNumberFormat="1" applyFont="1" applyFill="1" applyBorder="1" applyAlignment="1">
      <x:alignment vertical="top" wrapText="1"/>
    </x:xf>
    <x:xf numFmtId="0" fontId="8" fillId="4" borderId="10" xfId="0" applyNumberFormat="1" applyFont="1" applyFill="1" applyBorder="1" applyAlignment="1">
      <x:alignment horizontal="right" vertical="top" wrapText="1"/>
    </x:xf>
    <x:xf numFmtId="14" fontId="8" fillId="4" borderId="10" xfId="0" applyNumberFormat="1" applyFont="1" applyFill="1" applyBorder="1" applyAlignment="1">
      <x:alignment vertical="top" wrapText="1"/>
    </x:xf>
    <x:xf numFmtId="200" fontId="8" fillId="4" borderId="17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horizontal="left"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horizontal="center" vertical="center" wrapText="1"/>
    </x:xf>
    <x:xf numFmtId="14" fontId="9" fillId="5" borderId="10" xfId="0" applyNumberFormat="1" applyFont="1" applyFill="1" applyBorder="1" applyAlignment="1">
      <x:alignment vertical="top" wrapText="1"/>
    </x:xf>
    <x:xf numFmtId="0" fontId="9" fillId="6" borderId="16" xfId="0" applyNumberFormat="1" applyFont="1" applyFill="1" applyBorder="1" applyAlignment="1">
      <x:alignment horizontal="left" vertical="center" wrapText="1"/>
    </x:xf>
    <x:xf numFmtId="0" fontId="9" fillId="6" borderId="10" xfId="0" applyNumberFormat="1" applyFont="1" applyFill="1" applyBorder="1" applyAlignment="1">
      <x:alignment vertical="top" wrapText="1"/>
    </x:xf>
    <x:xf numFmtId="9" fontId="9" fillId="6" borderId="10" xfId="0" applyNumberFormat="1" applyFont="1" applyFill="1" applyBorder="1" applyAlignment="1">
      <x:alignment vertical="top" wrapText="1"/>
    </x:xf>
    <x:xf numFmtId="0" fontId="9" fillId="6" borderId="10" xfId="0" applyNumberFormat="1" applyFont="1" applyFill="1" applyBorder="1" applyAlignment="1">
      <x:alignment horizontal="right" vertical="top" wrapText="1"/>
    </x:xf>
    <x:xf numFmtId="14" fontId="9" fillId="6" borderId="10" xfId="0" applyNumberFormat="1" applyFont="1" applyFill="1" applyBorder="1" applyAlignment="1">
      <x:alignment vertical="top" wrapText="1"/>
    </x:xf>
    <x:xf numFmtId="200" fontId="9" fillId="6" borderId="17" xfId="0" applyNumberFormat="1" applyFont="1" applyFill="1" applyBorder="1" applyAlignment="1">
      <x:alignment vertical="top" wrapText="1"/>
    </x:xf>
    <x:xf numFmtId="0" fontId="9" fillId="5" borderId="10" xfId="0" applyNumberFormat="1" applyFont="1" applyFill="1" applyBorder="1" applyAlignment="1">
      <x:alignment vertical="top" wrapText="1"/>
    </x:xf>
    <x:xf numFmtId="9" fontId="9" fillId="5" borderId="10" xfId="0" applyNumberFormat="1" applyFont="1" applyFill="1" applyBorder="1" applyAlignment="1">
      <x:alignment vertical="top" wrapText="1"/>
    </x:xf>
    <x:xf numFmtId="0" fontId="9" fillId="5" borderId="10" xfId="0" applyNumberFormat="1" applyFont="1" applyFill="1" applyBorder="1" applyAlignment="1">
      <x:alignment horizontal="right" vertical="top" wrapText="1"/>
    </x:xf>
    <x:xf numFmtId="200" fontId="9" fillId="5" borderId="17" xfId="0" applyNumberFormat="1" applyFont="1" applyFill="1" applyBorder="1" applyAlignment="1">
      <x:alignment vertical="top" wrapText="1"/>
    </x:xf>
  </x:cellXfs>
  <x:cellStyles count="3">
    <x:cellStyle name="Moneda" xfId="1"/>
    <x:cellStyle name="Normal" xfId="0"/>
    <x:cellStyle name="Normal 2 2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ebce1c4de4aeb" /><Relationship Type="http://schemas.openxmlformats.org/officeDocument/2006/relationships/theme" Target="/xl/theme/theme1.xml" Id="Rf0c986d775224bf4" /><Relationship Type="http://schemas.openxmlformats.org/officeDocument/2006/relationships/sharedStrings" Target="/xl/sharedStrings.xml" Id="R2f44c7965a2c48ea" /><Relationship Type="http://schemas.openxmlformats.org/officeDocument/2006/relationships/worksheet" Target="/xl/worksheets/sheet1.xml" Id="R23630c7c6157429c" /><Relationship Type="http://schemas.openxmlformats.org/officeDocument/2006/relationships/worksheet" Target="/xl/worksheets/sheet2.xml" Id="R7343517bf5014c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f454cb7b96e446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88f6450a7e4420c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54cb7b96e44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2</xdr:col>
      <xdr:colOff>75720</xdr:colOff>
      <xdr:row>1</xdr:row>
      <xdr:rowOff>79374</xdr:rowOff>
    </xdr:from>
    <xdr:to>
      <xdr:col>3</xdr:col>
      <xdr:colOff>597022</xdr:colOff>
      <xdr:row>5</xdr:row>
      <xdr:rowOff>38099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8f6450a7e442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55c9fd920147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97049b164cf42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1.44140625" defaultRowHeight="14.399999618530273"/>
  <x:cols>
    <x:col min="1" max="1" width="4.109375" style="10" customWidth="1"/>
    <x:col min="2" max="2" width="3.44140625" style="10" customWidth="1"/>
    <x:col min="3" max="3" width="12" style="10" hidden="0" customWidth="1"/>
    <x:col min="4" max="4" width="25" style="10" hidden="0" customWidth="1"/>
    <x:col min="5" max="5" width="35" style="10" hidden="0" customWidth="1"/>
    <x:col min="6" max="6" width="30" style="10" hidden="0" customWidth="1"/>
    <x:col min="7" max="8" width="11.44140625" style="10" customWidth="0"/>
    <x:col min="9" max="9" width="18" style="10" hidden="0" customWidth="1"/>
    <x:col min="10" max="10" width="3.44140625" style="10" customWidth="1"/>
    <x:col min="11" max="16384" width="11.44140625" style="10" customWidth="0"/>
    <x:col min="7" max="7" width="16" hidden="0" customWidth="1"/>
    <x:col min="8" max="8" width="16" hidden="0" customWidth="1"/>
  </x:cols>
  <x:sheetData>
    <x:row r="4" ht="15"/>
    <x:row r="5" ht="15">
      <x:c r="B5" s="1"/>
      <x:c r="C5" s="2"/>
      <x:c r="D5" s="2"/>
      <x:c r="E5" s="2"/>
      <x:c r="F5" s="2"/>
      <x:c r="G5" s="2"/>
      <x:c r="H5" s="2"/>
      <x:c r="I5" s="2"/>
      <x:c r="J5" s="3"/>
    </x:row>
    <x:row r="6" ht="21">
      <x:c r="B6" s="4"/>
      <x:c r="C6" s="148" t="str">
        <x:v>Matriz de Adquisiciones – Signy</x:v>
      </x:c>
      <x:c r="D6" s="148"/>
      <x:c r="E6" s="148"/>
      <x:c r="F6" s="148"/>
      <x:c r="G6" s="148"/>
      <x:c r="H6" s="148"/>
      <x:c r="I6" s="148"/>
      <x:c r="J6" s="5"/>
    </x:row>
    <x:row r="7" ht="15">
      <x:c r="B7" s="4"/>
      <x:c r="C7" s="6"/>
      <x:c r="D7" s="6"/>
      <x:c r="E7" s="6"/>
      <x:c r="F7" s="6"/>
      <x:c r="G7" s="6"/>
      <x:c r="H7" s="6"/>
      <x:c r="I7" s="6"/>
      <x:c r="J7" s="5"/>
    </x:row>
    <x:row r="8">
      <x:c r="B8" s="4"/>
      <x:c r="C8" s="53" t="str">
        <x:v>Proyecto:</x:v>
      </x:c>
      <x:c r="D8" s="65" t="str">
        <x:v>Signy – Plataforma móvil gamificada para el aprendizaje de LSCh</x:v>
      </x:c>
      <x:c r="E8" s="65"/>
      <x:c r="F8" s="65"/>
      <x:c r="G8" s="65"/>
      <x:c r="H8" s="65"/>
      <x:c r="I8" s="66"/>
      <x:c r="J8" s="5"/>
    </x:row>
    <x:row r="9" ht="15">
      <x:c r="B9" s="4"/>
      <x:c r="C9" s="54" t="str">
        <x:v>ID:</x:v>
      </x:c>
      <x:c r="D9" s="67" t="str">
        <x:v>SIGNY-2026</x:v>
      </x:c>
      <x:c r="E9" s="67"/>
      <x:c r="F9" s="67"/>
      <x:c r="G9" s="67"/>
      <x:c r="H9" s="67"/>
      <x:c r="I9" s="68"/>
      <x:c r="J9" s="5"/>
    </x:row>
    <x:row r="10" ht="15">
      <x:c r="B10" s="4"/>
      <x:c r="C10" s="6"/>
      <x:c r="D10" s="6"/>
      <x:c r="E10" s="6"/>
      <x:c r="F10" s="6"/>
      <x:c r="G10" s="6"/>
      <x:c r="H10" s="6"/>
      <x:c r="I10" s="6"/>
      <x:c r="J10" s="5"/>
    </x:row>
    <x:row r="11" ht="30" customHeight="1">
      <x:c r="B11" s="4"/>
      <x:c r="C11" s="155" t="str">
        <x:v>Código EDT</x:v>
      </x:c>
      <x:c r="D11" s="156" t="str">
        <x:v>Estructura EDT</x:v>
      </x:c>
      <x:c r="E11" s="156" t="str">
        <x:v>Tipo de Adquisición</x:v>
      </x:c>
      <x:c r="F11" s="156" t="str">
        <x:v>Modalidad</x:v>
      </x:c>
      <x:c r="G11" s="156" t="str">
        <x:v>Inicio</x:v>
      </x:c>
      <x:c r="H11" s="156" t="str">
        <x:v>Fin</x:v>
      </x:c>
      <x:c r="I11" s="157" t="str">
        <x:v>Presupuesto CLP</x:v>
      </x:c>
      <x:c r="J11" s="5"/>
    </x:row>
    <x:row r="12">
      <x:c r="B12" s="4"/>
      <x:c r="C12" s="176" t="str">
        <x:v>1.3.2</x:v>
      </x:c>
      <x:c r="D12" s="177" t="str">
        <x:v>Backend y persistencia</x:v>
      </x:c>
      <x:c r="E12" s="177" t="str">
        <x:v>Supabase Pro</x:v>
      </x:c>
      <x:c r="F12" s="177" t="str">
        <x:v>Contratación directa / SaaS</x:v>
      </x:c>
      <x:c r="G12" s="177" t="str">
        <x:v>13/08/2026</x:v>
      </x:c>
      <x:c r="H12" s="177" t="str">
        <x:v>12/08/2027</x:v>
      </x:c>
      <x:c r="I12" s="164" t="n">
        <x:v>283020</x:v>
      </x:c>
      <x:c r="J12" s="5"/>
    </x:row>
    <x:row r="13">
      <x:c r="B13" s="4"/>
      <x:c r="C13" s="178" t="str">
        <x:v>1.6.1</x:v>
      </x:c>
      <x:c r="D13" s="179" t="str">
        <x:v>Identidad / soporte web</x:v>
      </x:c>
      <x:c r="E13" s="180" t="str">
        <x:v>Dominio .CL</x:v>
      </x:c>
      <x:c r="F13" s="181" t="str">
        <x:v>Contratación directa NIC Chile</x:v>
      </x:c>
      <x:c r="G13" s="182" t="str">
        <x:v>13/08/2026</x:v>
      </x:c>
      <x:c r="H13" s="182" t="str">
        <x:v>12/08/2027</x:v>
      </x:c>
      <x:c r="I13" s="183" t="n">
        <x:v>9990</x:v>
      </x:c>
      <x:c r="J13" s="5"/>
    </x:row>
    <x:row r="14">
      <x:c r="B14" s="4"/>
      <x:c r="C14" s="184" t="str">
        <x:v>1.5.4</x:v>
      </x:c>
      <x:c r="D14" s="185" t="str">
        <x:v>Validación lingüística</x:v>
      </x:c>
      <x:c r="E14" s="186" t="str">
        <x:v>Apoyo profesional LSCh – 4 h</x:v>
      </x:c>
      <x:c r="F14" s="187" t="str">
        <x:v>Servicio especializado</x:v>
      </x:c>
      <x:c r="G14" s="188" t="str">
        <x:v>01/11/2026</x:v>
      </x:c>
      <x:c r="H14" s="188" t="str">
        <x:v>30/11/2026</x:v>
      </x:c>
      <x:c r="I14" s="189" t="n">
        <x:v>168068</x:v>
      </x:c>
      <x:c r="J14" s="5"/>
    </x:row>
    <x:row r="15" ht="150" customHeight="1">
      <x:c r="B15" s="4"/>
      <x:c r="C15" s="190" t="str">
        <x:v>1.5.4</x:v>
      </x:c>
      <x:c r="D15" s="191" t="str">
        <x:v>Pruebas de usuarios</x:v>
      </x:c>
      <x:c r="E15" s="27" t="str">
        <x:v>Incentivos – 5 participantes</x:v>
      </x:c>
      <x:c r="F15" s="192" t="str">
        <x:v>Administración directa</x:v>
      </x:c>
      <x:c r="G15" s="193" t="str">
        <x:v>01/11/2026</x:v>
      </x:c>
      <x:c r="H15" s="193" t="str">
        <x:v>30/11/2026</x:v>
      </x:c>
      <x:c r="I15" s="167" t="n">
        <x:v>50000</x:v>
      </x:c>
      <x:c r="J15" s="5"/>
    </x:row>
    <x:row r="16">
      <x:c r="B16" s="4"/>
      <x:c r="C16" s="194" t="str">
        <x:v>1.5.4</x:v>
      </x:c>
      <x:c r="D16" s="195" t="str">
        <x:v>Pruebas de usuarios</x:v>
      </x:c>
      <x:c r="E16" s="196" t="str">
        <x:v>Traslados, materiales y colaciones</x:v>
      </x:c>
      <x:c r="F16" s="197" t="str">
        <x:v>Compras menores</x:v>
      </x:c>
      <x:c r="G16" s="198" t="str">
        <x:v>01/11/2026</x:v>
      </x:c>
      <x:c r="H16" s="198" t="str">
        <x:v>30/11/2026</x:v>
      </x:c>
      <x:c r="I16" s="199" t="n">
        <x:v>50000</x:v>
      </x:c>
      <x:c r="J16" s="5"/>
    </x:row>
    <x:row r="17" s="12" customFormat="1">
      <x:c r="B17" s="4"/>
      <x:c r="C17" s="184" t="str">
        <x:v>1.5.4</x:v>
      </x:c>
      <x:c r="D17" s="185" t="str">
        <x:v>Convocatoria</x:v>
      </x:c>
      <x:c r="E17" s="186" t="str">
        <x:v>Apoyo DIDECO Huechuraba</x:v>
      </x:c>
      <x:c r="F17" s="187" t="str">
        <x:v>Colaboración no monetaria</x:v>
      </x:c>
      <x:c r="G17" s="188" t="str">
        <x:v>Oct/Nov 2026</x:v>
      </x:c>
      <x:c r="H17" s="188" t="str">
        <x:v>Dic 2026</x:v>
      </x:c>
      <x:c r="I17" s="189" t="n">
        <x:v>0</x:v>
      </x:c>
      <x:c r="J17" s="5"/>
    </x:row>
    <x:row r="18" s="12" customFormat="1">
      <x:c r="B18" s="4"/>
      <x:c r="C18" s="190" t="str">
        <x:v>1.3/1.4/1.5</x:v>
      </x:c>
      <x:c r="D18" s="200" t="str">
        <x:v>Herramientas de desarrollo</x:v>
      </x:c>
      <x:c r="E18" s="201" t="str">
        <x:v>GitHub, Ionic, Angular, Capacitor, MediaPipe, Android Studio</x:v>
      </x:c>
      <x:c r="F18" s="202" t="str">
        <x:v>Licencias gratuitas / open source</x:v>
      </x:c>
      <x:c r="G18" s="193" t="str">
        <x:v>13/08/2026</x:v>
      </x:c>
      <x:c r="H18" s="193" t="str">
        <x:v>18/12/2026</x:v>
      </x:c>
      <x:c r="I18" s="203" t="n">
        <x:v>0</x:v>
      </x:c>
      <x:c r="J18" s="5"/>
    </x:row>
    <x:row r="19" s="12" customFormat="1">
      <x:c r="B19" s="4"/>
      <x:c r="C19" s="194" t="str">
        <x:v>TOTAL ADQUISICIONES / DESEMBOLSO DIRECTO BASE</x:v>
      </x:c>
      <x:c r="D19" s="195"/>
      <x:c r="E19" s="196"/>
      <x:c r="F19" s="197"/>
      <x:c r="G19" s="198"/>
      <x:c r="H19" s="198"/>
      <x:c r="I19" s="199" t="n">
        <x:f>SUM(I12:I18)</x:f>
        <x:v>561078</x:v>
      </x:c>
      <x:c r="J19" s="5"/>
    </x:row>
    <x:row r="20" s="12" customFormat="1">
      <x:c r="B20" s="4"/>
      <x:c r="C20" s="43"/>
      <x:c r="D20" s="14"/>
      <x:c r="E20" s="15"/>
      <x:c r="F20" s="16"/>
      <x:c r="G20" s="17"/>
      <x:c r="H20" s="17"/>
      <x:c r="I20" s="44"/>
      <x:c r="J20" s="5"/>
    </x:row>
    <x:row r="21" s="12" customFormat="1">
      <x:c r="B21" s="4"/>
      <x:c r="C21" s="45"/>
      <x:c r="D21" s="18"/>
      <x:c r="E21" s="19"/>
      <x:c r="F21" s="20"/>
      <x:c r="G21" s="21"/>
      <x:c r="H21" s="21"/>
      <x:c r="I21" s="46"/>
      <x:c r="J21" s="5"/>
    </x:row>
    <x:row r="22" s="12" customFormat="1">
      <x:c r="B22" s="4"/>
      <x:c r="C22" s="47"/>
      <x:c r="D22" s="22"/>
      <x:c r="E22" s="23"/>
      <x:c r="F22" s="24"/>
      <x:c r="G22" s="25"/>
      <x:c r="H22" s="25"/>
      <x:c r="I22" s="51"/>
      <x:c r="J22" s="5"/>
    </x:row>
    <x:row r="23" s="12" customFormat="1">
      <x:c r="B23" s="4"/>
      <x:c r="C23" s="49"/>
      <x:c r="D23" s="30"/>
      <x:c r="E23" s="31"/>
      <x:c r="F23" s="32"/>
      <x:c r="G23" s="33"/>
      <x:c r="H23" s="33"/>
      <x:c r="I23" s="50"/>
      <x:c r="J23" s="5"/>
    </x:row>
    <x:row r="24" s="12" customFormat="1">
      <x:c r="B24" s="4"/>
      <x:c r="C24" s="45"/>
      <x:c r="D24" s="18"/>
      <x:c r="E24" s="19"/>
      <x:c r="F24" s="20"/>
      <x:c r="G24" s="21"/>
      <x:c r="H24" s="21"/>
      <x:c r="I24" s="46"/>
      <x:c r="J24" s="5"/>
    </x:row>
    <x:row r="25" s="12" customFormat="1">
      <x:c r="B25" s="4"/>
      <x:c r="C25" s="47"/>
      <x:c r="D25" s="22"/>
      <x:c r="E25" s="23"/>
      <x:c r="F25" s="24"/>
      <x:c r="G25" s="25"/>
      <x:c r="H25" s="25"/>
      <x:c r="I25" s="51"/>
      <x:c r="J25" s="5"/>
    </x:row>
    <x:row r="26" s="12" customFormat="1">
      <x:c r="B26" s="4"/>
      <x:c r="C26" s="49" t="s">
        <x:v>0</x:v>
      </x:c>
      <x:c r="D26" s="30" t="s">
        <x:v>1</x:v>
      </x:c>
      <x:c r="E26" s="31"/>
      <x:c r="F26" s="32"/>
      <x:c r="G26" s="33"/>
      <x:c r="H26" s="33"/>
      <x:c r="I26" s="50"/>
      <x:c r="J26" s="5"/>
    </x:row>
    <x:row r="27" s="12" customFormat="1">
      <x:c r="B27" s="4"/>
      <x:c r="C27" s="43">
        <x:v>3</x:v>
      </x:c>
      <x:c r="D27" s="14" t="s">
        <x:v>2</x:v>
      </x:c>
      <x:c r="E27" s="15"/>
      <x:c r="F27" s="16"/>
      <x:c r="G27" s="17"/>
      <x:c r="H27" s="17"/>
      <x:c r="I27" s="44"/>
      <x:c r="J27" s="5"/>
    </x:row>
    <x:row r="28" s="12" customFormat="1">
      <x:c r="B28" s="4"/>
      <x:c r="C28" s="45">
        <x:v>3.1</x:v>
      </x:c>
      <x:c r="D28" s="18" t="s">
        <x:v>3</x:v>
      </x:c>
      <x:c r="E28" s="19"/>
      <x:c r="F28" s="20"/>
      <x:c r="G28" s="21"/>
      <x:c r="H28" s="21"/>
      <x:c r="I28" s="46"/>
      <x:c r="J28" s="5"/>
    </x:row>
    <x:row r="29" s="12" customFormat="1">
      <x:c r="B29" s="4"/>
      <x:c r="C29" s="47" t="s">
        <x:v>4</x:v>
      </x:c>
      <x:c r="D29" s="22" t="s">
        <x:v>5</x:v>
      </x:c>
      <x:c r="E29" s="23"/>
      <x:c r="F29" s="24"/>
      <x:c r="G29" s="25"/>
      <x:c r="H29" s="25"/>
      <x:c r="I29" s="51"/>
      <x:c r="J29" s="5"/>
    </x:row>
    <x:row r="30" s="12" customFormat="1">
      <x:c r="B30" s="4"/>
      <x:c r="C30" s="49" t="s">
        <x:v>6</x:v>
      </x:c>
      <x:c r="D30" s="30" t="s">
        <x:v>1</x:v>
      </x:c>
      <x:c r="E30" s="31"/>
      <x:c r="F30" s="32"/>
      <x:c r="G30" s="33"/>
      <x:c r="H30" s="33"/>
      <x:c r="I30" s="50"/>
      <x:c r="J30" s="5"/>
    </x:row>
    <x:row r="31" ht="28.200000762939453">
      <x:c r="B31" s="4"/>
      <x:c r="C31" s="61" t="s">
        <x:v>7</x:v>
      </x:c>
      <x:c r="D31" s="62"/>
      <x:c r="E31" s="62"/>
      <x:c r="F31" s="62"/>
      <x:c r="G31" s="62"/>
      <x:c r="H31" s="63"/>
      <x:c r="I31" s="52" t="s">
        <x:v>8</x:v>
      </x:c>
      <x:c r="J31" s="5"/>
    </x:row>
    <x:row r="32" ht="15">
      <x:c r="B32" s="7"/>
      <x:c r="C32" s="8"/>
      <x:c r="D32" s="8"/>
      <x:c r="E32" s="8"/>
      <x:c r="F32" s="8"/>
      <x:c r="G32" s="8"/>
      <x:c r="H32" s="8"/>
      <x:c r="I32" s="8"/>
      <x:c r="J32" s="9"/>
    </x:row>
    <x:row r="33" ht="15"/>
    <x:row r="34">
      <x:c r="C34" s="11"/>
      <x:c r="D34" s="35" t="s">
        <x:v>9</x:v>
      </x:c>
    </x:row>
    <x:row r="35" ht="43.20000076293945">
      <x:c r="C35" s="11"/>
      <x:c r="D35" s="34" t="s">
        <x:v>10</x:v>
      </x:c>
    </x:row>
  </x:sheetData>
  <x:mergeCells>
    <x:mergeCell ref="C31:H31"/>
    <x:mergeCell ref="C6:I6"/>
    <x:mergeCell ref="D8:I8"/>
    <x:mergeCell ref="D9:I9"/>
    <x:mergeCell ref="C11:C12"/>
    <x:mergeCell ref="D11:D12"/>
    <x:mergeCell ref="E11:E12"/>
    <x:mergeCell ref="F11:F12"/>
    <x:mergeCell ref="G11:H11"/>
    <x:mergeCell ref="I11:I12"/>
    <x:mergeCell ref="C19:H19"/>
  </x:mergeCells>
  <x:pageMargins left="0.7" right="0.7" top="0.75" bottom="0.75" header="0.3" footer="0.3"/>
  <x:drawing xmlns:r="http://schemas.openxmlformats.org/officeDocument/2006/relationships" r:id="Rfe55c9fd920147a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1.44140625" defaultRowHeight="14.399999618530273"/>
  <x:cols>
    <x:col min="1" max="1" width="4.109375" customWidth="1"/>
    <x:col min="2" max="3" width="3.44140625" customWidth="1"/>
    <x:col min="4" max="4" width="12.77734375" customWidth="1"/>
    <x:col min="5" max="5" width="48.6640625" customWidth="1"/>
    <x:col min="6" max="6" width="26.6640625" customWidth="1"/>
    <x:col min="7" max="7" width="22.109375" customWidth="1"/>
    <x:col min="9" max="9" width="13.77734375" customWidth="1"/>
    <x:col min="10" max="10" width="18.33203125" customWidth="1"/>
    <x:col min="11" max="11" width="3.44140625" customWidth="1"/>
  </x:cols>
  <x:sheetData>
    <x:row r="5" s="12" customFormat="1"/>
    <x:row r="6" s="12" customFormat="1" ht="15"/>
    <x:row r="7" s="12" customFormat="1" ht="15">
      <x:c r="C7" s="1"/>
      <x:c r="D7" s="2"/>
      <x:c r="E7" s="2"/>
      <x:c r="F7" s="2"/>
      <x:c r="G7" s="2"/>
      <x:c r="H7" s="2"/>
      <x:c r="I7" s="2"/>
      <x:c r="J7" s="2"/>
      <x:c r="K7" s="3"/>
    </x:row>
    <x:row r="8" s="12" customFormat="1" ht="21">
      <x:c r="C8" s="4"/>
      <x:c r="D8" s="64" t="s">
        <x:v>11</x:v>
      </x:c>
      <x:c r="E8" s="64"/>
      <x:c r="F8" s="64"/>
      <x:c r="G8" s="64"/>
      <x:c r="H8" s="64"/>
      <x:c r="I8" s="64"/>
      <x:c r="J8" s="64"/>
      <x:c r="K8" s="5"/>
    </x:row>
    <x:row r="9" s="12" customFormat="1" ht="15">
      <x:c r="C9" s="4"/>
      <x:c r="D9" s="6"/>
      <x:c r="E9" s="6"/>
      <x:c r="F9" s="6"/>
      <x:c r="G9" s="6"/>
      <x:c r="H9" s="6"/>
      <x:c r="I9" s="6"/>
      <x:c r="J9" s="6"/>
      <x:c r="K9" s="5"/>
    </x:row>
    <x:row r="10" s="12" customFormat="1">
      <x:c r="C10" s="4"/>
      <x:c r="D10" s="53" t="s">
        <x:v>12</x:v>
      </x:c>
      <x:c r="E10" s="65" t="s">
        <x:v>13</x:v>
      </x:c>
      <x:c r="F10" s="65"/>
      <x:c r="G10" s="65"/>
      <x:c r="H10" s="65"/>
      <x:c r="I10" s="65"/>
      <x:c r="J10" s="66"/>
      <x:c r="K10" s="5"/>
    </x:row>
    <x:row r="11" s="12" customFormat="1" ht="15">
      <x:c r="C11" s="4"/>
      <x:c r="D11" s="54" t="s">
        <x:v>14</x:v>
      </x:c>
      <x:c r="E11" s="67" t="s">
        <x:v>15</x:v>
      </x:c>
      <x:c r="F11" s="67"/>
      <x:c r="G11" s="67"/>
      <x:c r="H11" s="67"/>
      <x:c r="I11" s="67"/>
      <x:c r="J11" s="68"/>
      <x:c r="K11" s="5"/>
    </x:row>
    <x:row r="12" s="12" customFormat="1" ht="15">
      <x:c r="C12" s="4"/>
      <x:c r="D12" s="6"/>
      <x:c r="E12" s="6"/>
      <x:c r="F12" s="6"/>
      <x:c r="G12" s="6"/>
      <x:c r="H12" s="6"/>
      <x:c r="I12" s="6"/>
      <x:c r="J12" s="6"/>
      <x:c r="K12" s="5"/>
    </x:row>
    <x:row r="13" s="12" customFormat="1" ht="15" customHeight="1">
      <x:c r="C13" s="4"/>
      <x:c r="D13" s="69" t="s">
        <x:v>16</x:v>
      </x:c>
      <x:c r="E13" s="71" t="s">
        <x:v>17</x:v>
      </x:c>
      <x:c r="F13" s="71" t="s">
        <x:v>18</x:v>
      </x:c>
      <x:c r="G13" s="71" t="s">
        <x:v>19</x:v>
      </x:c>
      <x:c r="H13" s="71" t="s">
        <x:v>20</x:v>
      </x:c>
      <x:c r="I13" s="71"/>
      <x:c r="J13" s="73" t="s">
        <x:v>21</x:v>
      </x:c>
      <x:c r="K13" s="5"/>
    </x:row>
    <x:row r="14" s="12" customFormat="1">
      <x:c r="C14" s="4"/>
      <x:c r="D14" s="70"/>
      <x:c r="E14" s="72"/>
      <x:c r="F14" s="72"/>
      <x:c r="G14" s="72"/>
      <x:c r="H14" s="13" t="s">
        <x:v>22</x:v>
      </x:c>
      <x:c r="I14" s="13" t="s">
        <x:v>23</x:v>
      </x:c>
      <x:c r="J14" s="74"/>
      <x:c r="K14" s="5"/>
    </x:row>
    <x:row r="15" s="12" customFormat="1">
      <x:c r="C15" s="4"/>
      <x:c r="D15" s="43">
        <x:v>1</x:v>
      </x:c>
      <x:c r="E15" s="14" t="s">
        <x:v>24</x:v>
      </x:c>
      <x:c r="F15" s="15"/>
      <x:c r="G15" s="16"/>
      <x:c r="H15" s="17"/>
      <x:c r="I15" s="17"/>
      <x:c r="J15" s="55" t="n">
        <x:f>J17+J19+J20</x:f>
        <x:v>23750000</x:v>
      </x:c>
      <x:c r="K15" s="5"/>
    </x:row>
    <x:row r="16" s="12" customFormat="1">
      <x:c r="C16" s="4"/>
      <x:c r="D16" s="45">
        <x:v>1.1000000000000001</x:v>
      </x:c>
      <x:c r="E16" s="18" t="s">
        <x:v>25</x:v>
      </x:c>
      <x:c r="F16" s="19"/>
      <x:c r="G16" s="20"/>
      <x:c r="H16" s="21"/>
      <x:c r="I16" s="21"/>
      <x:c r="J16" s="46"/>
      <x:c r="K16" s="5"/>
    </x:row>
    <x:row r="17" s="12" customFormat="1">
      <x:c r="C17" s="4"/>
      <x:c r="D17" s="47" t="s">
        <x:v>26</x:v>
      </x:c>
      <x:c r="E17" s="26" t="s">
        <x:v>27</x:v>
      </x:c>
      <x:c r="F17" s="36" t="s">
        <x:v>28</x:v>
      </x:c>
      <x:c r="G17" s="29" t="s">
        <x:v>29</x:v>
      </x:c>
      <x:c r="H17" s="25">
        <x:v>40695</x:v>
      </x:c>
      <x:c r="I17" s="25">
        <x:v>41274</x:v>
      </x:c>
      <x:c r="J17" s="56">
        <x:v>18450000</x:v>
      </x:c>
      <x:c r="K17" s="5"/>
    </x:row>
    <x:row r="18" s="12" customFormat="1">
      <x:c r="C18" s="4"/>
      <x:c r="D18" s="45">
        <x:v>1.2</x:v>
      </x:c>
      <x:c r="E18" s="18" t="s">
        <x:v>30</x:v>
      </x:c>
      <x:c r="F18" s="37"/>
      <x:c r="G18" s="20"/>
      <x:c r="H18" s="21"/>
      <x:c r="I18" s="21"/>
      <x:c r="J18" s="57"/>
      <x:c r="K18" s="5"/>
    </x:row>
    <x:row r="19" s="12" customFormat="1">
      <x:c r="C19" s="4"/>
      <x:c r="D19" s="47" t="s">
        <x:v>31</x:v>
      </x:c>
      <x:c r="E19" s="22" t="s">
        <x:v>32</x:v>
      </x:c>
      <x:c r="F19" s="38" t="s">
        <x:v>33</x:v>
      </x:c>
      <x:c r="G19" s="29" t="s">
        <x:v>34</x:v>
      </x:c>
      <x:c r="H19" s="25">
        <x:v>40695</x:v>
      </x:c>
      <x:c r="I19" s="25">
        <x:v>40915</x:v>
      </x:c>
      <x:c r="J19" s="56">
        <x:v>4850000</x:v>
      </x:c>
      <x:c r="K19" s="5"/>
    </x:row>
    <x:row r="20" s="12" customFormat="1">
      <x:c r="C20" s="4"/>
      <x:c r="D20" s="45">
        <x:v>1.3</x:v>
      </x:c>
      <x:c r="E20" s="18" t="s">
        <x:v>35</x:v>
      </x:c>
      <x:c r="F20" s="40" t="s">
        <x:v>28</x:v>
      </x:c>
      <x:c r="G20" s="41" t="s">
        <x:v>29</x:v>
      </x:c>
      <x:c r="H20" s="21">
        <x:v>40826</x:v>
      </x:c>
      <x:c r="I20" s="21">
        <x:v>40893</x:v>
      </x:c>
      <x:c r="J20" s="57">
        <x:v>450000</x:v>
      </x:c>
      <x:c r="K20" s="5"/>
    </x:row>
    <x:row r="21" s="12" customFormat="1">
      <x:c r="C21" s="4"/>
      <x:c r="D21" s="43">
        <x:v>2</x:v>
      </x:c>
      <x:c r="E21" s="14" t="s">
        <x:v>36</x:v>
      </x:c>
      <x:c r="F21" s="39"/>
      <x:c r="G21" s="16"/>
      <x:c r="H21" s="17"/>
      <x:c r="I21" s="17"/>
      <x:c r="J21" s="55" t="n">
        <x:f>SUM(J23:J24)</x:f>
        <x:v>2750000</x:v>
      </x:c>
      <x:c r="K21" s="5"/>
    </x:row>
    <x:row r="22" s="12" customFormat="1">
      <x:c r="C22" s="4"/>
      <x:c r="D22" s="45">
        <x:v>2.1</x:v>
      </x:c>
      <x:c r="E22" s="18" t="s">
        <x:v>37</x:v>
      </x:c>
      <x:c r="F22" s="37"/>
      <x:c r="G22" s="20"/>
      <x:c r="H22" s="21"/>
      <x:c r="I22" s="21"/>
      <x:c r="J22" s="46"/>
      <x:c r="K22" s="5"/>
    </x:row>
    <x:row r="23" s="12" customFormat="1">
      <x:c r="C23" s="4"/>
      <x:c r="D23" s="47" t="s">
        <x:v>38</x:v>
      </x:c>
      <x:c r="E23" s="22" t="s">
        <x:v>39</x:v>
      </x:c>
      <x:c r="F23" s="38" t="s">
        <x:v>40</x:v>
      </x:c>
      <x:c r="G23" s="28" t="s">
        <x:v>29</x:v>
      </x:c>
      <x:c r="H23" s="25">
        <x:v>40695</x:v>
      </x:c>
      <x:c r="I23" s="25">
        <x:v>40797</x:v>
      </x:c>
      <x:c r="J23" s="56">
        <x:v>1000000</x:v>
      </x:c>
      <x:c r="K23" s="5"/>
    </x:row>
    <x:row r="24" s="12" customFormat="1">
      <x:c r="C24" s="4"/>
      <x:c r="D24" s="49" t="s">
        <x:v>41</x:v>
      </x:c>
      <x:c r="E24" s="30" t="s">
        <x:v>42</x:v>
      </x:c>
      <x:c r="F24" s="42" t="s">
        <x:v>40</x:v>
      </x:c>
      <x:c r="G24" s="42" t="s">
        <x:v>29</x:v>
      </x:c>
      <x:c r="H24" s="33">
        <x:v>40966</x:v>
      </x:c>
      <x:c r="I24" s="33">
        <x:v>41033</x:v>
      </x:c>
      <x:c r="J24" s="58">
        <x:v>1750000</x:v>
      </x:c>
      <x:c r="K24" s="5"/>
    </x:row>
    <x:row r="25" s="12" customFormat="1">
      <x:c r="C25" s="4"/>
      <x:c r="D25" s="43">
        <x:v>3</x:v>
      </x:c>
      <x:c r="E25" s="14" t="s">
        <x:v>43</x:v>
      </x:c>
      <x:c r="F25" s="39"/>
      <x:c r="G25" s="16"/>
      <x:c r="H25" s="17"/>
      <x:c r="I25" s="17"/>
      <x:c r="J25" s="55" t="n">
        <x:f>SUM(J26:J27)</x:f>
        <x:v>1500000</x:v>
      </x:c>
      <x:c r="K25" s="5"/>
    </x:row>
    <x:row r="26" s="12" customFormat="1">
      <x:c r="C26" s="4"/>
      <x:c r="D26" s="45">
        <x:v>3.1</x:v>
      </x:c>
      <x:c r="E26" s="18" t="s">
        <x:v>44</x:v>
      </x:c>
      <x:c r="F26" s="40" t="s">
        <x:v>28</x:v>
      </x:c>
      <x:c r="G26" s="41" t="s">
        <x:v>29</x:v>
      </x:c>
      <x:c r="H26" s="21">
        <x:v>40697</x:v>
      </x:c>
      <x:c r="I26" s="21">
        <x:v>40797</x:v>
      </x:c>
      <x:c r="J26" s="59">
        <x:v>450000</x:v>
      </x:c>
      <x:c r="K26" s="5"/>
    </x:row>
    <x:row r="27" s="12" customFormat="1">
      <x:c r="C27" s="4"/>
      <x:c r="D27" s="45">
        <x:v>3.2</x:v>
      </x:c>
      <x:c r="E27" s="18" t="s">
        <x:v>45</x:v>
      </x:c>
      <x:c r="F27" s="40" t="s">
        <x:v>28</x:v>
      </x:c>
      <x:c r="G27" s="41" t="s">
        <x:v>29</x:v>
      </x:c>
      <x:c r="H27" s="21">
        <x:v>40717</x:v>
      </x:c>
      <x:c r="I27" s="21">
        <x:v>40784</x:v>
      </x:c>
      <x:c r="J27" s="59">
        <x:v>1050000</x:v>
      </x:c>
      <x:c r="K27" s="5"/>
    </x:row>
    <x:row r="28" s="12" customFormat="1">
      <x:c r="C28" s="4"/>
      <x:c r="D28" s="43">
        <x:v>4</x:v>
      </x:c>
      <x:c r="E28" s="14" t="s">
        <x:v>46</x:v>
      </x:c>
      <x:c r="F28" s="39"/>
      <x:c r="G28" s="16"/>
      <x:c r="H28" s="17"/>
      <x:c r="I28" s="17"/>
      <x:c r="J28" s="55" t="n">
        <x:f>SUM(J29:J31)</x:f>
        <x:v>2000000</x:v>
      </x:c>
      <x:c r="K28" s="5"/>
    </x:row>
    <x:row r="29" s="12" customFormat="1">
      <x:c r="C29" s="4"/>
      <x:c r="D29" s="45">
        <x:v>4.0999999999999996</x:v>
      </x:c>
      <x:c r="E29" s="18" t="s">
        <x:v>47</x:v>
      </x:c>
      <x:c r="F29" s="40" t="s">
        <x:v>40</x:v>
      </x:c>
      <x:c r="G29" s="41" t="s">
        <x:v>29</x:v>
      </x:c>
      <x:c r="H29" s="21">
        <x:v>40695</x:v>
      </x:c>
      <x:c r="I29" s="21">
        <x:v>41455</x:v>
      </x:c>
      <x:c r="J29" s="59">
        <x:v>1380000</x:v>
      </x:c>
      <x:c r="K29" s="5"/>
    </x:row>
    <x:row r="30" s="12" customFormat="1">
      <x:c r="C30" s="4"/>
      <x:c r="D30" s="45">
        <x:v>4.2</x:v>
      </x:c>
      <x:c r="E30" s="18" t="s">
        <x:v>48</x:v>
      </x:c>
      <x:c r="F30" s="40" t="s">
        <x:v>40</x:v>
      </x:c>
      <x:c r="G30" s="41" t="s">
        <x:v>34</x:v>
      </x:c>
      <x:c r="H30" s="21">
        <x:v>41456</x:v>
      </x:c>
      <x:c r="I30" s="21">
        <x:v>41486</x:v>
      </x:c>
      <x:c r="J30" s="59">
        <x:v>310000</x:v>
      </x:c>
      <x:c r="K30" s="5"/>
    </x:row>
    <x:row r="31" s="12" customFormat="1">
      <x:c r="C31" s="4"/>
      <x:c r="D31" s="45">
        <x:v>4.3</x:v>
      </x:c>
      <x:c r="E31" s="18" t="s">
        <x:v>49</x:v>
      </x:c>
      <x:c r="F31" s="40" t="s">
        <x:v>40</x:v>
      </x:c>
      <x:c r="G31" s="41" t="s">
        <x:v>29</x:v>
      </x:c>
      <x:c r="H31" s="21">
        <x:v>41456</x:v>
      </x:c>
      <x:c r="I31" s="21">
        <x:v>41486</x:v>
      </x:c>
      <x:c r="J31" s="59">
        <x:v>310000</x:v>
      </x:c>
      <x:c r="K31" s="5"/>
    </x:row>
    <x:row r="32" s="12" customFormat="1" ht="15">
      <x:c r="C32" s="4"/>
      <x:c r="D32" s="61" t="s">
        <x:v>7</x:v>
      </x:c>
      <x:c r="E32" s="62"/>
      <x:c r="F32" s="62"/>
      <x:c r="G32" s="62"/>
      <x:c r="H32" s="62"/>
      <x:c r="I32" s="63"/>
      <x:c r="J32" s="60" t="n">
        <x:f>J15+J21+J25+J28</x:f>
        <x:v>30000000</x:v>
      </x:c>
      <x:c r="K32" s="5"/>
    </x:row>
    <x:row r="33" s="12" customFormat="1" ht="15">
      <x:c r="C33" s="7"/>
      <x:c r="D33" s="8"/>
      <x:c r="E33" s="8"/>
      <x:c r="F33" s="8"/>
      <x:c r="G33" s="8"/>
      <x:c r="H33" s="8"/>
      <x:c r="I33" s="8"/>
      <x:c r="J33" s="8"/>
      <x:c r="K33" s="9"/>
    </x:row>
    <x:row r="34" s="12" customFormat="1" ht="15"/>
    <x:row r="35" s="12" customFormat="1">
      <x:c r="D35" s="11"/>
      <x:c r="E35" s="35"/>
    </x:row>
    <x:row r="36">
      <x:c r="C36" s="11" t="s">
        <x:v>50</x:v>
      </x:c>
    </x:row>
    <x:row r="37">
      <x:c r="C37" s="11" t="s">
        <x:v>51</x:v>
      </x:c>
    </x:row>
  </x:sheetData>
  <x:mergeCells>
    <x:mergeCell ref="D32:I32"/>
    <x:mergeCell ref="D8:J8"/>
    <x:mergeCell ref="E10:J10"/>
    <x:mergeCell ref="E11:J11"/>
    <x:mergeCell ref="D13:D14"/>
    <x:mergeCell ref="E13:E14"/>
    <x:mergeCell ref="F13:F14"/>
    <x:mergeCell ref="G13:G14"/>
    <x:mergeCell ref="H13:I13"/>
    <x:mergeCell ref="J13:J14"/>
  </x:mergeCells>
  <x:pageMargins left="0.7" right="0.7" top="0.75" bottom="0.75" header="0.3" footer="0.3"/>
  <x:drawing xmlns:r="http://schemas.openxmlformats.org/officeDocument/2006/relationships" r:id="R697049b164cf426f"/>
</x:worksheet>
</file>