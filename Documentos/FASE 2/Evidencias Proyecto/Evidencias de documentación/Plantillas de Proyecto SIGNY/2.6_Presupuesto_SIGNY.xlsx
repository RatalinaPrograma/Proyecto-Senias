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d9c1307993b4086" /></Relationships>
</file>

<file path=xl/workbook.xml><?xml version="1.0" encoding="utf-8"?>
<x:workbook xmlns:x="http://schemas.openxmlformats.org/spreadsheetml/2006/main">
  <x:sheets>
    <x:sheet xmlns:r="http://schemas.openxmlformats.org/officeDocument/2006/relationships" name="Por Recursos" sheetId="5" r:id="R58592c6f2e314ac9"/>
    <x:sheet xmlns:r="http://schemas.openxmlformats.org/officeDocument/2006/relationships" name="Presupuesto Detallado" sheetId="1" r:id="Rb3235d33926e4feb"/>
    <x:sheet xmlns:r="http://schemas.openxmlformats.org/officeDocument/2006/relationships" name="Datos" sheetId="6" r:id="R6d155d5595c0418f"/>
    <x:sheet xmlns:r="http://schemas.openxmlformats.org/officeDocument/2006/relationships" name="Instructivo" sheetId="2" r:id="R0d233d6d429e4065"/>
  </x:sheets>
</x:workbook>
</file>

<file path=xl/sharedStrings.xml><?xml version="1.0" encoding="utf-8"?>
<x:sst xmlns:x="http://schemas.openxmlformats.org/spreadsheetml/2006/main">
  <x:si>
    <x:t xml:space="preserve">Presupuesto de Proyecto</x:t>
  </x:si>
  <x:si>
    <x:t xml:space="preserve">[Nombre de la Compañía / Logo]</x:t>
  </x:si>
  <x:si>
    <x:t xml:space="preserve">Elaborado por: pmoinformatica.com</x:t>
  </x:si>
  <x:si>
    <x:t xml:space="preserve">% Reserva de Contingencia</x:t>
  </x:si>
  <x:si>
    <x:t xml:space="preserve">Líder del Proyecto: [Nombre]</x:t>
  </x:si>
  <x:si>
    <x:t xml:space="preserve">Presupuesto</x:t>
  </x:si>
  <x:si>
    <x:t xml:space="preserve">Reservas</x:t>
  </x:si>
  <x:si>
    <x:t xml:space="preserve">Total</x:t>
  </x:si>
  <x:si>
    <x:t xml:space="preserve">Fecha de Inicio: [dd/mm/aaaa]</x:t>
  </x:si>
  <x:si>
    <x:t xml:space="preserve">Código</x:t>
  </x:si>
  <x:si>
    <x:t xml:space="preserve">Tarea / Actividad</x:t>
  </x:si>
  <x:si>
    <x:t xml:space="preserve">Elemento</x:t>
  </x:si>
  <x:si>
    <x:t xml:space="preserve">Tipo de Recurso</x:t>
  </x:si>
  <x:si>
    <x:t xml:space="preserve">Tipo de Unidades</x:t>
  </x:si>
  <x:si>
    <x:t xml:space="preserve">Unidades</x:t>
  </x:si>
  <x:si>
    <x:t xml:space="preserve">Tasa</x:t>
  </x:si>
  <x:si>
    <x:t xml:space="preserve">[Tarea de Nivel 1]</x:t>
  </x:si>
  <x:si>
    <x:t xml:space="preserve">1.1</x:t>
  </x:si>
  <x:si>
    <x:t xml:space="preserve">[Tarea de Nivel 2]</x:t>
  </x:si>
  <x:si>
    <x:t xml:space="preserve">1.1.1</x:t>
  </x:si>
  <x:si>
    <x:t xml:space="preserve">[Tarea de Nivel 3]</x:t>
  </x:si>
  <x:si>
    <x:t xml:space="preserve">[Personal 1]</x:t>
  </x:si>
  <x:si>
    <x:t xml:space="preserve">[Personal 2]</x:t>
  </x:si>
  <x:si>
    <x:t xml:space="preserve">[Consultor 1]</x:t>
  </x:si>
  <x:si>
    <x:t xml:space="preserve">[Consultor 2]</x:t>
  </x:si>
  <x:si>
    <x:t xml:space="preserve">[Material 1]</x:t>
  </x:si>
  <x:si>
    <x:t xml:space="preserve">[Material 2]</x:t>
  </x:si>
  <x:si>
    <x:t xml:space="preserve">[Material 3]</x:t>
  </x:si>
  <x:si>
    <x:t xml:space="preserve">[Item de Licencia 1]</x:t>
  </x:si>
  <x:si>
    <x:t xml:space="preserve">[Item de Licencia 2]</x:t>
  </x:si>
  <x:si>
    <x:t xml:space="preserve">[Item de Viaje 1]</x:t>
  </x:si>
  <x:si>
    <x:t xml:space="preserve">[Item de Viaje 2]</x:t>
  </x:si>
  <x:si>
    <x:t xml:space="preserve">[Item de Gastos Indirectos 1]</x:t>
  </x:si>
  <x:si>
    <x:t xml:space="preserve">[Item de Gastos Indirectos 2]</x:t>
  </x:si>
  <x:si>
    <x:t xml:space="preserve">[Item de Gastos Indirectos 3]</x:t>
  </x:si>
  <x:si>
    <x:t xml:space="preserve">1.1.2</x:t>
  </x:si>
  <x:si>
    <x:t xml:space="preserve">1.2</x:t>
  </x:si>
  <x:si>
    <x:t xml:space="preserve">1.2.1</x:t>
  </x:si>
  <x:si>
    <x:t xml:space="preserve">2.1</x:t>
  </x:si>
  <x:si>
    <x:t xml:space="preserve">2.1.1</x:t>
  </x:si>
  <x:si>
    <x:t xml:space="preserve">Labor (Personal)</x:t>
  </x:si>
  <x:si>
    <x:t xml:space="preserve">Horas / Jornadas</x:t>
  </x:si>
  <x:si>
    <x:t xml:space="preserve">Consultoría</x:t>
  </x:si>
  <x:si>
    <x:t xml:space="preserve">Materiales</x:t>
  </x:si>
  <x:si>
    <x:t xml:space="preserve">Cantidad</x:t>
  </x:si>
  <x:si>
    <x:t xml:space="preserve">Licencias</x:t>
  </x:si>
  <x:si>
    <x:t xml:space="preserve">Viajes</x:t>
  </x:si>
  <x:si>
    <x:t xml:space="preserve">Gastos Indirectos</x:t>
  </x:si>
  <x:si>
    <x:t xml:space="preserve">NA</x:t>
  </x:si>
  <x:si>
    <x:t xml:space="preserve">Hoja: Tasas</x:t>
  </x:si>
  <x:si>
    <x:t xml:space="preserve">Descripción:</x:t>
  </x:si>
  <x:si>
    <x:t xml:space="preserve">Se usa para registrar los datos maestros para el cálculo del Presupuesto a partir de los recursos.</x:t>
  </x:si>
  <x:si>
    <x:t xml:space="preserve">Columna</x:t>
  </x:si>
  <x:si>
    <x:t xml:space="preserve">Instrucciones</x:t>
  </x:si>
  <x:si>
    <x:t xml:space="preserve">Aquí se especifica el nombre del Recurso, por ejemplo Analista de Sistemas 1, Electricista 1, Gerente de Proyectos, etc.</x:t>
  </x:si>
  <x:si>
    <x:t xml:space="preserve">Indica si es un Recurso de tipo Labor, cuando es una persona, Consultor, para servicios especializados contratados a terceros, Materiales (por ej. Componentes Electronicos, Piezas, entre otros.), Licencias de Propiedad Intelectual, Gastos por viajes, Gastos indirectos, o cualquier otro que sea necesario especificar.</x:t>
  </x:si>
  <x:si>
    <x:t xml:space="preserve">El tipo de unidad para medir la utilización del recurso, para el caso de personas, pueden ser las horas o jornadas, para materiales, la cantidad de piezas, volumenes o peso. Pueden utilizarse otras según sea el caso.</x:t>
  </x:si>
  <x:si>
    <x:t xml:space="preserve">La tasa en moneda a aplicar por la utilización del recurso, por ejemplo para personas esto será el costo por hora o jornada, para consultores la tarifa, para materiales el costo unitario, y así sucesivamente según el tipo de recurso.</x:t>
  </x:si>
  <x:si>
    <x:t xml:space="preserve">Hoja: Presupuesto detallado</x:t>
  </x:si>
  <x:si>
    <x:t xml:space="preserve">Se detallan los costos por recurso para cada actividad del Proyecto. Luego estos se sumarizan por actividades de mayor nivel</x:t>
  </x:si>
  <x:si>
    <x:t xml:space="preserve">Código de Paquete de Trabajo, Tarea de Proyecto o Subtarea, según el método de desglose y codificación de las tareas seleccionado.</x:t>
  </x:si>
  <x:si>
    <x:t xml:space="preserve">Nombre de la tarea para la cual se está especificando el Presupuesto. Aquí se puede presentar el desglose en tres niveles y la plantilla esta prefabricada para permitir la totalización.</x:t>
  </x:si>
  <x:si>
    <x:t xml:space="preserve">Aquí se especifica el nombre del Recurso, por ejemplo Analista de Sistemas 1, Electricista 1, Gerente de Proyectos, etc. Es importante que todo Recurso asignado en esta hoja, corresponda con uno registrado en la hoja de "Datos", para que así el libro Excel pueda determinar la tasa automáticamente.</x:t>
  </x:si>
  <x:si>
    <x:t xml:space="preserve">Indica si es un Recurso de tipo Labor, Materiales, Licencias, Gastos por viajes, Gastos indirectos, o cualquier otro. Su valor lo obtiene el libro Excel automáticamente, buscando en la Hoja "Datos" la Tasa que corresponde al Elemento especificado.</x:t>
  </x:si>
  <x:si>
    <x:t xml:space="preserve">El tipo de unidad para medir la utilización del recurso, su valor lo obtiene el libro Excel automáticamente, buscando en la Hoja "Datos" la Tasa que corresponde al Elemento especificado.</x:t>
  </x:si>
  <x:si>
    <x:t xml:space="preserve">Aquí se registra el número de unidades del Recurso que consumirá la actividad, debe ser especificado según la estimación realizada (según método de estimación seleccionado).</x:t>
  </x:si>
  <x:si>
    <x:t xml:space="preserve">La tasa en moneda a aplicar por la utilización del recurso, su valor lo obtiene el libro Excel automáticamente, buscando en la Hoja "Datos" la Tasa que corresponde al Elemento especificado.</x:t>
  </x:si>
  <x:si>
    <x:t xml:space="preserve">Multiplicando la tasa en moneda por el uso del recurso, por las unidades, se obtiene el costo total para la actividad por el uso de dicho recurso.</x:t>
  </x:si>
  <x:si>
    <x:t xml:space="preserve">Hoja: Presupuesto por Recursos</x:t>
  </x:si>
  <x:si>
    <x:t xml:space="preserve">En esta hoja se totaliza el presupuesto asociado a cada Recurso. Para ello, se sumariza el presupuesto de cada recurso en cada actividad.</x:t>
  </x:si>
  <x:si>
    <x:t xml:space="preserve">Categoría</x:t>
  </x:si>
  <x:si>
    <x:t xml:space="preserve">Se usa esta columna para categorízar los Recursos, como por ejemplo "Costos Directos" y "Costos Indirectos".</x:t>
  </x:si>
  <x:si>
    <x:t xml:space="preserve">Recurso</x:t>
  </x:si>
  <x:si>
    <x:t xml:space="preserve">En esta columna se sumariza el Presupuesto del Recurso en cada actividad de la hoja de Presupuesto Detallado, presentando de esta forma un subtotal por Recurso.</x:t>
  </x:si>
</x:sst>
</file>

<file path=xl/styles.xml><?xml version="1.0" encoding="utf-8"?>
<x:styleSheet xmlns:x="http://schemas.openxmlformats.org/spreadsheetml/2006/main">
  <x:numFmts count="2">
    <x:numFmt numFmtId="43" formatCode="_ * #,##0.00_ ;_ * \-#,##0.00_ ;_ * &quot;-&quot;??_ ;_ @_ "/>
    <x:numFmt numFmtId="200" formatCode="$#,##0;[Red]($#,##0);-"/>
  </x:numFmts>
  <x:fonts count="10">
    <x:font>
      <x:sz val="11"/>
      <x:color theme="1"/>
      <x:name val="Calibri"/>
    </x:font>
    <x:font>
      <x:sz val="11"/>
      <x:color theme="1"/>
      <x:name val="Calibri"/>
    </x:font>
    <x:font>
      <x:b/>
      <x:sz val="11"/>
      <x:color theme="1"/>
      <x:name val="Calibri"/>
    </x:font>
    <x:font>
      <x:sz val="12"/>
      <x:color theme="1"/>
      <x:name val="Calibri"/>
    </x:font>
    <x:font>
      <x:b/>
      <x:sz val="12"/>
      <x:color theme="1"/>
      <x:name val="Calibri"/>
    </x:font>
    <x:font>
      <x:b/>
      <x:sz val="20"/>
      <x:color theme="1"/>
      <x:name val="Calibri"/>
    </x:font>
    <x:font>
      <x:b/>
      <x:sz val="14"/>
      <x:color theme="3"/>
      <x:name val="Calibri"/>
    </x:font>
    <x:font>
      <x:sz val="10"/>
      <x:color theme="1"/>
      <x:name val="Calibri"/>
    </x:font>
    <x:font>
      <x:b/>
      <x:sz val="14"/>
      <x:color rgb="FFFFFFFF"/>
      <x:name val="Calibri"/>
    </x:font>
    <x:font>
      <x:b/>
      <x:sz val="12"/>
      <x:color rgb="FFFFFFFF"/>
      <x:name val="Calibri"/>
    </x:font>
  </x:fonts>
  <x:fills count="5">
    <x:fill>
      <x:patternFill patternType="none"/>
    </x:fill>
    <x:fill>
      <x:patternFill patternType="gray125"/>
    </x:fill>
    <x:fill>
      <x:patternFill patternType="solid">
        <x:fgColor theme="0"/>
      </x:patternFill>
    </x:fill>
    <x:fill>
      <x:patternFill patternType="solid">
        <x:fgColor theme="0" tint="-0.15"/>
      </x:patternFill>
    </x:fill>
    <x:fill>
      <x:patternFill patternType="solid">
        <x:fgColor rgb="FF1F4E78"/>
      </x:patternFill>
    </x:fill>
  </x:fills>
  <x:borders count="4">
    <x:border/>
    <x:border>
      <x:top style="thin">
        <x:color indexed="64"/>
      </x:top>
      <x:bottom style="thin">
        <x:color indexed="64"/>
      </x:bottom>
    </x:border>
    <x:border/>
    <x:border>
      <x:top style="thin">
        <x:color indexed="64"/>
      </x:top>
      <x:bottom style="thin">
        <x:color indexed="64"/>
      </x:bottom>
    </x:border>
  </x:borders>
  <x:cellStyleXfs count="2">
    <x:xf numFmtId="0" fontId="0" fillId="0" borderId="0"/>
    <x:xf numFmtId="43" fontId="1" fillId="0" borderId="0" applyFont="0" applyFill="0" applyBorder="0" applyAlignment="0" applyProtection="0"/>
  </x:cellStyleXfs>
  <x:cellXfs count="98">
    <x:xf numFmtId="0" fontId="0" fillId="0" borderId="0" xfId="0"/>
    <x:xf numFmtId="0" fontId="0" fillId="2" borderId="0" xfId="0" applyFill="1" applyBorder="1"/>
    <x:xf numFmtId="0" fontId="0" fillId="2" borderId="0" xfId="0" applyFill="1"/>
    <x:xf numFmtId="0" fontId="3" fillId="2" borderId="0" xfId="0" applyFont="1" applyFill="1" applyBorder="1"/>
    <x:xf numFmtId="0" fontId="2" fillId="2" borderId="0" xfId="0" applyFont="1" applyFill="1" applyBorder="1"/>
    <x:xf numFmtId="0" fontId="4" fillId="2" borderId="0" xfId="0" applyFont="1" applyFill="1" applyBorder="1"/>
    <x:xf numFmtId="0" fontId="5" fillId="2" borderId="0" xfId="0" applyFont="1" applyFill="1" applyBorder="1"/>
    <x:xf numFmtId="0" fontId="6" fillId="2" borderId="0" xfId="0" applyFont="1" applyFill="1" applyBorder="1"/>
    <x:xf numFmtId="0" fontId="7" fillId="2" borderId="0" xfId="0" applyFont="1" applyFill="1" applyBorder="1"/>
    <x:xf numFmtId="0" fontId="4" fillId="2" borderId="0" xfId="0" applyFont="1" applyFill="1" applyBorder="1" applyAlignment="1">
      <x:alignment horizontal="center" wrapText="1"/>
    </x:xf>
    <x:xf numFmtId="0" fontId="4" fillId="2" borderId="0" xfId="0" applyFont="1" applyFill="1" applyBorder="1" applyAlignment="1">
      <x:alignment horizontal="center"/>
    </x:xf>
    <x:xf numFmtId="0" fontId="2" fillId="3" borderId="0" xfId="0" applyFont="1" applyFill="1" applyBorder="1" applyAlignment="1">
      <x:alignment horizontal="left" vertical="top"/>
    </x:xf>
    <x:xf numFmtId="0" fontId="0" fillId="3" borderId="0" xfId="0" applyFill="1" applyBorder="1" applyAlignment="1">
      <x:alignment horizontal="left" vertical="top"/>
    </x:xf>
    <x:xf numFmtId="0" fontId="0" fillId="2" borderId="0" xfId="0" applyFill="1" applyBorder="1" applyAlignment="1">
      <x:alignment horizontal="left" vertical="top"/>
    </x:xf>
    <x:xf numFmtId="0" fontId="0" fillId="2" borderId="0" xfId="0" applyFill="1" applyBorder="1" applyAlignment="1"/>
    <x:xf numFmtId="0" fontId="0" fillId="2" borderId="0" xfId="0" applyFont="1" applyFill="1" applyBorder="1" applyAlignment="1">
      <x:alignment horizontal="left" vertical="top"/>
    </x:xf>
    <x:xf numFmtId="0" fontId="0" fillId="2" borderId="0" xfId="0" applyFont="1" applyFill="1" applyBorder="1" applyAlignment="1">
      <x:alignment horizontal="left" vertical="top"/>
    </x:xf>
    <x:xf numFmtId="0" fontId="0" fillId="2" borderId="0" xfId="0" applyFont="1" applyFill="1" applyBorder="1" applyAlignment="1">
      <x:alignment horizontal="left" vertical="top"/>
    </x:xf>
    <x:xf numFmtId="43" fontId="0" fillId="2" borderId="0" xfId="1" applyFont="1" applyFill="1" applyBorder="1" applyAlignment="1">
      <x:alignment horizontal="left" vertical="top"/>
    </x:xf>
    <x:xf numFmtId="43" fontId="0" fillId="2" borderId="0" xfId="0" applyNumberFormat="1" applyFont="1" applyFill="1" applyBorder="1" applyAlignment="1">
      <x:alignment horizontal="left" vertical="top"/>
    </x:xf>
    <x:xf numFmtId="43" fontId="0" fillId="3" borderId="0" xfId="0" applyNumberFormat="1" applyFill="1" applyBorder="1" applyAlignment="1">
      <x:alignment horizontal="left" vertical="top"/>
    </x:xf>
    <x:xf numFmtId="9" fontId="0" fillId="2" borderId="0" xfId="0" applyNumberFormat="1" applyFill="1" applyBorder="1"/>
    <x:xf numFmtId="43" fontId="3" fillId="3" borderId="0" xfId="0" applyNumberFormat="1" applyFont="1" applyFill="1" applyBorder="1"/>
    <x:xf numFmtId="0" fontId="0" fillId="2" borderId="0" xfId="0" applyFont="1" applyFill="1" applyBorder="1" applyAlignment="1">
      <x:alignment horizontal="right" vertical="top"/>
    </x:xf>
    <x:xf numFmtId="43" fontId="0" fillId="2" borderId="0" xfId="1" applyFont="1" applyFill="1" applyBorder="1" applyAlignment="1">
      <x:alignment horizontal="right" vertical="top"/>
    </x:xf>
    <x:xf numFmtId="43" fontId="2" fillId="3" borderId="0" xfId="1" applyFont="1" applyFill="1" applyBorder="1" applyAlignment="1">
      <x:alignment horizontal="left" vertical="top"/>
    </x:xf>
    <x:xf numFmtId="0" fontId="0" fillId="3" borderId="0" xfId="0" applyFill="1" applyBorder="1" applyAlignment="1">
      <x:alignment horizontal="right" vertical="top"/>
    </x:xf>
    <x:xf numFmtId="0" fontId="4" fillId="2" borderId="0" xfId="0" applyFont="1" applyFill="1" applyBorder="1" applyAlignment="1">
      <x:alignment horizontal="left"/>
    </x:xf>
    <x:xf numFmtId="0" fontId="0" fillId="2" borderId="0" xfId="0" applyFont="1" applyFill="1" applyBorder="1" applyAlignment="1">
      <x:alignment horizontal="left" vertical="top" wrapText="1"/>
    </x:xf>
    <x:xf numFmtId="0" fontId="0" fillId="2" borderId="1" xfId="0" applyFont="1" applyFill="1" applyBorder="1" applyAlignment="1">
      <x:alignment horizontal="left" vertical="top"/>
    </x:xf>
    <x:xf numFmtId="0" fontId="0" fillId="2" borderId="1" xfId="0" applyFont="1" applyFill="1" applyBorder="1" applyAlignment="1">
      <x:alignment horizontal="left" vertical="top" wrapText="1"/>
    </x:xf>
    <x:xf numFmtId="0" fontId="0" fillId="2" borderId="0" xfId="0" applyFill="1" applyAlignment="1">
      <x:alignment wrapText="1"/>
    </x:xf>
    <x:xf numFmtId="0" fontId="0" fillId="0" borderId="2" xfId="0" applyNumberFormat="1" applyFont="1" applyFill="1" applyBorder="1"/>
    <x:xf numFmtId="0" fontId="0" fillId="2" borderId="2" xfId="0" applyNumberFormat="1" applyFont="1" applyFill="1" applyBorder="1"/>
    <x:xf numFmtId="0" fontId="3" fillId="2" borderId="2" xfId="0" applyNumberFormat="1" applyFont="1" applyFill="1" applyBorder="1"/>
    <x:xf numFmtId="0" fontId="2" fillId="2" borderId="2" xfId="0" applyNumberFormat="1" applyFont="1" applyFill="1" applyBorder="1"/>
    <x:xf numFmtId="0" fontId="4" fillId="2" borderId="2" xfId="0" applyNumberFormat="1" applyFont="1" applyFill="1" applyBorder="1"/>
    <x:xf numFmtId="0" fontId="5" fillId="2" borderId="2" xfId="0" applyNumberFormat="1" applyFont="1" applyFill="1" applyBorder="1"/>
    <x:xf numFmtId="0" fontId="6" fillId="2" borderId="2" xfId="0" applyNumberFormat="1" applyFont="1" applyFill="1" applyBorder="1"/>
    <x:xf numFmtId="0" fontId="7" fillId="2" borderId="2" xfId="0" applyNumberFormat="1" applyFont="1" applyFill="1" applyBorder="1"/>
    <x:xf numFmtId="0" fontId="4" fillId="2" borderId="2" xfId="0" applyNumberFormat="1" applyFont="1" applyFill="1" applyBorder="1" applyAlignment="1">
      <x:alignment horizontal="center" wrapText="1"/>
    </x:xf>
    <x:xf numFmtId="0" fontId="4" fillId="2" borderId="2" xfId="0" applyNumberFormat="1" applyFont="1" applyFill="1" applyBorder="1" applyAlignment="1">
      <x:alignment horizontal="center"/>
    </x:xf>
    <x:xf numFmtId="0" fontId="2" fillId="3" borderId="2" xfId="0" applyNumberFormat="1" applyFont="1" applyFill="1" applyBorder="1" applyAlignment="1">
      <x:alignment horizontal="left" vertical="top"/>
    </x:xf>
    <x:xf numFmtId="0" fontId="0" fillId="3" borderId="2" xfId="0" applyNumberFormat="1" applyFont="1" applyFill="1" applyBorder="1" applyAlignment="1">
      <x:alignment horizontal="left" vertical="top"/>
    </x:xf>
    <x:xf numFmtId="0" fontId="0" fillId="2" borderId="2" xfId="0" applyNumberFormat="1" applyFont="1" applyFill="1" applyBorder="1" applyAlignment="1">
      <x:alignment horizontal="left" vertical="top"/>
    </x:xf>
    <x:xf numFmtId="43" fontId="0" fillId="2" borderId="2" xfId="0" applyNumberFormat="1" applyFont="1" applyFill="1" applyBorder="1" applyAlignment="1">
      <x:alignment horizontal="left" vertical="top"/>
    </x:xf>
    <x:xf numFmtId="43" fontId="0" fillId="3" borderId="2" xfId="0" applyNumberFormat="1" applyFont="1" applyFill="1" applyBorder="1" applyAlignment="1">
      <x:alignment horizontal="left" vertical="top"/>
    </x:xf>
    <x:xf numFmtId="9" fontId="0" fillId="2" borderId="2" xfId="0" applyNumberFormat="1" applyFont="1" applyFill="1" applyBorder="1"/>
    <x:xf numFmtId="43" fontId="3" fillId="3" borderId="2" xfId="0" applyNumberFormat="1" applyFont="1" applyFill="1" applyBorder="1"/>
    <x:xf numFmtId="0" fontId="0" fillId="2" borderId="2" xfId="0" applyNumberFormat="1" applyFont="1" applyFill="1" applyBorder="1" applyAlignment="1">
      <x:alignment horizontal="right" vertical="top"/>
    </x:xf>
    <x:xf numFmtId="43" fontId="0" fillId="2" borderId="2" xfId="0" applyNumberFormat="1" applyFont="1" applyFill="1" applyBorder="1" applyAlignment="1">
      <x:alignment horizontal="right" vertical="top"/>
    </x:xf>
    <x:xf numFmtId="43" fontId="2" fillId="3" borderId="2" xfId="0" applyNumberFormat="1" applyFont="1" applyFill="1" applyBorder="1" applyAlignment="1">
      <x:alignment horizontal="left" vertical="top"/>
    </x:xf>
    <x:xf numFmtId="0" fontId="0" fillId="3" borderId="2" xfId="0" applyNumberFormat="1" applyFont="1" applyFill="1" applyBorder="1" applyAlignment="1">
      <x:alignment horizontal="right" vertical="top"/>
    </x:xf>
    <x:xf numFmtId="0" fontId="4" fillId="2" borderId="2" xfId="0" applyNumberFormat="1" applyFont="1" applyFill="1" applyBorder="1" applyAlignment="1">
      <x:alignment horizontal="left"/>
    </x:xf>
    <x:xf numFmtId="0" fontId="0" fillId="2" borderId="2" xfId="0" applyNumberFormat="1" applyFont="1" applyFill="1" applyBorder="1" applyAlignment="1">
      <x:alignment horizontal="left" vertical="top" wrapText="1"/>
    </x:xf>
    <x:xf numFmtId="0" fontId="0" fillId="2" borderId="3" xfId="0" applyNumberFormat="1" applyFont="1" applyFill="1" applyBorder="1" applyAlignment="1">
      <x:alignment horizontal="left" vertical="top"/>
    </x:xf>
    <x:xf numFmtId="0" fontId="0" fillId="2" borderId="3" xfId="0" applyNumberFormat="1" applyFont="1" applyFill="1" applyBorder="1" applyAlignment="1">
      <x:alignment horizontal="left" vertical="top" wrapText="1"/>
    </x:xf>
    <x:xf numFmtId="0" fontId="0" fillId="2" borderId="2" xfId="0" applyNumberFormat="1" applyFont="1" applyFill="1" applyBorder="1" applyAlignment="1">
      <x:alignment wrapText="1"/>
    </x:xf>
    <x:xf numFmtId="0" fontId="5" fillId="4" borderId="0" xfId="0" applyNumberFormat="1" applyFont="1" applyFill="1" applyBorder="1"/>
    <x:xf numFmtId="0" fontId="0" fillId="4" borderId="0" xfId="0" applyNumberFormat="1" applyFont="1" applyFill="1" applyBorder="1"/>
    <x:xf numFmtId="0" fontId="2" fillId="4" borderId="0" xfId="0" applyNumberFormat="1" applyFont="1" applyFill="1" applyBorder="1"/>
    <x:xf numFmtId="0" fontId="8" fillId="4" borderId="0" xfId="0" applyNumberFormat="1" applyFont="1" applyFill="1" applyBorder="1"/>
    <x:xf numFmtId="0" fontId="8" fillId="4" borderId="0" xfId="0" applyNumberFormat="1" applyFont="1" applyFill="1" applyBorder="1" applyAlignment="1">
      <x:alignment horizontal="center"/>
    </x:xf>
    <x:xf numFmtId="0" fontId="8" fillId="4" borderId="0" xfId="0" applyNumberFormat="1" applyFont="1" applyFill="1" applyBorder="1" applyAlignment="1">
      <x:alignment horizontal="center" vertical="center"/>
    </x:xf>
    <x:xf numFmtId="0" fontId="5" fillId="4" borderId="2" xfId="0" applyNumberFormat="1" applyFont="1" applyFill="1" applyBorder="1"/>
    <x:xf numFmtId="0" fontId="0" fillId="4" borderId="2" xfId="0" applyNumberFormat="1" applyFont="1" applyFill="1" applyBorder="1"/>
    <x:xf numFmtId="0" fontId="2" fillId="4" borderId="2" xfId="0" applyNumberFormat="1" applyFont="1" applyFill="1" applyBorder="1"/>
    <x:xf numFmtId="0" fontId="8" fillId="4" borderId="2" xfId="0" applyNumberFormat="1" applyFont="1" applyFill="1" applyBorder="1"/>
    <x:xf numFmtId="0" fontId="8" fillId="4" borderId="2" xfId="0" applyNumberFormat="1" applyFont="1" applyFill="1" applyBorder="1" applyAlignment="1">
      <x:alignment horizontal="center"/>
    </x:xf>
    <x:xf numFmtId="0" fontId="8" fillId="4" borderId="2" xfId="0" applyNumberFormat="1" applyFont="1" applyFill="1" applyBorder="1" applyAlignment="1">
      <x:alignment horizontal="center" vertical="center"/>
    </x:xf>
    <x:xf numFmtId="0" fontId="4" fillId="4" borderId="0" xfId="0" applyNumberFormat="1" applyFont="1" applyFill="1" applyBorder="1" applyAlignment="1">
      <x:alignment horizontal="center"/>
    </x:xf>
    <x:xf numFmtId="0" fontId="9" fillId="4" borderId="0" xfId="0" applyNumberFormat="1" applyFont="1" applyFill="1" applyBorder="1" applyAlignment="1">
      <x:alignment horizontal="center"/>
    </x:xf>
    <x:xf numFmtId="0" fontId="9" fillId="4" borderId="0" xfId="0" applyNumberFormat="1" applyFont="1" applyFill="1" applyBorder="1" applyAlignment="1">
      <x:alignment horizontal="center" wrapText="1"/>
    </x:xf>
    <x:xf numFmtId="0" fontId="9" fillId="4" borderId="0" xfId="0" applyNumberFormat="1" applyFont="1" applyFill="1" applyBorder="1" applyAlignment="1">
      <x:alignment horizontal="center" vertical="center" wrapText="1"/>
    </x:xf>
    <x:xf numFmtId="0" fontId="4" fillId="4" borderId="2" xfId="0" applyNumberFormat="1" applyFont="1" applyFill="1" applyBorder="1" applyAlignment="1">
      <x:alignment horizontal="center"/>
    </x:xf>
    <x:xf numFmtId="0" fontId="9" fillId="4" borderId="2" xfId="0" applyNumberFormat="1" applyFont="1" applyFill="1" applyBorder="1" applyAlignment="1">
      <x:alignment horizontal="center"/>
    </x:xf>
    <x:xf numFmtId="0" fontId="9" fillId="4" borderId="2" xfId="0" applyNumberFormat="1" applyFont="1" applyFill="1" applyBorder="1" applyAlignment="1">
      <x:alignment horizontal="center" wrapText="1"/>
    </x:xf>
    <x:xf numFmtId="0" fontId="9" fillId="4" borderId="2" xfId="0" applyNumberFormat="1" applyFont="1" applyFill="1" applyBorder="1" applyAlignment="1">
      <x:alignment horizontal="center" vertical="center" wrapText="1"/>
    </x:xf>
    <x:xf numFmtId="200" fontId="3" fillId="3" borderId="0" xfId="0" applyNumberFormat="1" applyFont="1" applyFill="1" applyBorder="1"/>
    <x:xf numFmtId="200" fontId="0" fillId="0" borderId="0" xfId="0" applyNumberFormat="1" applyFont="1" applyFill="1" applyBorder="1"/>
    <x:xf numFmtId="200" fontId="9" fillId="4" borderId="0" xfId="0" applyNumberFormat="1" applyFont="1" applyFill="1" applyBorder="1" applyAlignment="1">
      <x:alignment horizontal="center" vertical="center" wrapText="1"/>
    </x:xf>
    <x:xf numFmtId="200" fontId="2" fillId="3" borderId="0" xfId="0" applyNumberFormat="1" applyFont="1" applyFill="1" applyBorder="1" applyAlignment="1">
      <x:alignment horizontal="left" vertical="top"/>
    </x:xf>
    <x:xf numFmtId="200" fontId="0" fillId="2" borderId="0" xfId="0" applyNumberFormat="1" applyFont="1" applyFill="1" applyBorder="1" applyAlignment="1">
      <x:alignment horizontal="left" vertical="top"/>
    </x:xf>
    <x:xf numFmtId="200" fontId="0" fillId="2" borderId="0" xfId="0" applyNumberFormat="1" applyFont="1" applyFill="1" applyBorder="1" applyAlignment="1">
      <x:alignment horizontal="right" vertical="top"/>
    </x:xf>
    <x:xf numFmtId="200" fontId="3" fillId="3" borderId="2" xfId="0" applyNumberFormat="1" applyFont="1" applyFill="1" applyBorder="1"/>
    <x:xf numFmtId="200" fontId="0" fillId="0" borderId="2" xfId="0" applyNumberFormat="1" applyFont="1" applyFill="1" applyBorder="1"/>
    <x:xf numFmtId="200" fontId="9" fillId="4" borderId="2" xfId="0" applyNumberFormat="1" applyFont="1" applyFill="1" applyBorder="1" applyAlignment="1">
      <x:alignment horizontal="center" vertical="center" wrapText="1"/>
    </x:xf>
    <x:xf numFmtId="200" fontId="2" fillId="3" borderId="2" xfId="0" applyNumberFormat="1" applyFont="1" applyFill="1" applyBorder="1" applyAlignment="1">
      <x:alignment horizontal="left" vertical="top"/>
    </x:xf>
    <x:xf numFmtId="200" fontId="0" fillId="2" borderId="2" xfId="0" applyNumberFormat="1" applyFont="1" applyFill="1" applyBorder="1" applyAlignment="1">
      <x:alignment horizontal="left" vertical="top"/>
    </x:xf>
    <x:xf numFmtId="200" fontId="0" fillId="2" borderId="2" xfId="0" applyNumberFormat="1" applyFont="1" applyFill="1" applyBorder="1" applyAlignment="1">
      <x:alignment horizontal="right" vertical="top"/>
    </x:xf>
    <x:xf numFmtId="0" fontId="2" fillId="3" borderId="0" xfId="0" applyNumberFormat="1" applyFont="1" applyFill="1" applyBorder="1" applyAlignment="1">
      <x:alignment horizontal="left" vertical="top" wrapText="1"/>
    </x:xf>
    <x:xf numFmtId="200" fontId="2" fillId="3" borderId="0" xfId="0" applyNumberFormat="1" applyFont="1" applyFill="1" applyBorder="1" applyAlignment="1">
      <x:alignment horizontal="left" vertical="top" wrapText="1"/>
    </x:xf>
    <x:xf numFmtId="0" fontId="0" fillId="2" borderId="0" xfId="0" applyNumberFormat="1" applyFont="1" applyFill="1" applyBorder="1" applyAlignment="1">
      <x:alignment horizontal="left" vertical="top" wrapText="1"/>
    </x:xf>
    <x:xf numFmtId="200" fontId="0" fillId="2" borderId="0" xfId="0" applyNumberFormat="1" applyFont="1" applyFill="1" applyBorder="1" applyAlignment="1">
      <x:alignment horizontal="left" vertical="top" wrapText="1"/>
    </x:xf>
    <x:xf numFmtId="200" fontId="0" fillId="2" borderId="0" xfId="0" applyNumberFormat="1" applyFont="1" applyFill="1" applyBorder="1" applyAlignment="1">
      <x:alignment horizontal="right" vertical="top" wrapText="1"/>
    </x:xf>
    <x:xf numFmtId="0" fontId="0" fillId="2" borderId="0" xfId="0" applyNumberFormat="1" applyFont="1" applyFill="1" applyBorder="1" applyAlignment="1">
      <x:alignment wrapText="1"/>
    </x:xf>
    <x:xf numFmtId="0" fontId="0" fillId="2" borderId="0" xfId="0" applyNumberFormat="1" applyFont="1" applyFill="1" applyBorder="1" applyAlignment="1">
      <x:alignment horizontal="right" vertical="top" wrapText="1"/>
    </x:xf>
    <x:xf numFmtId="43" fontId="0" fillId="2" borderId="0" xfId="0" applyNumberFormat="1" applyFont="1" applyFill="1" applyBorder="1" applyAlignment="1">
      <x:alignment horizontal="right" vertical="top" wrapText="1"/>
    </x:xf>
  </x:cellXfs>
  <x:cellStyles count="2">
    <x:cellStyle name="Millares" xfId="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b8afc1a071b46dc" /><Relationship Type="http://schemas.openxmlformats.org/officeDocument/2006/relationships/theme" Target="/xl/theme/theme1.xml" Id="R3404870da441404f" /><Relationship Type="http://schemas.openxmlformats.org/officeDocument/2006/relationships/sharedStrings" Target="/xl/sharedStrings.xml" Id="Ra5ec3e4da7664989" /><Relationship Type="http://schemas.openxmlformats.org/officeDocument/2006/relationships/worksheet" Target="/xl/worksheets/sheet1.xml" Id="R58592c6f2e314ac9" /><Relationship Type="http://schemas.openxmlformats.org/officeDocument/2006/relationships/worksheet" Target="/xl/worksheets/sheet2.xml" Id="Rb3235d33926e4feb" /><Relationship Type="http://schemas.openxmlformats.org/officeDocument/2006/relationships/worksheet" Target="/xl/worksheets/sheet3.xml" Id="R6d155d5595c0418f" /><Relationship Type="http://schemas.openxmlformats.org/officeDocument/2006/relationships/worksheet" Target="/xl/worksheets/sheet4.xml" Id="R0d233d6d429e4065" /></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10" defaultColWidth="11.44140625" defaultRowHeight="14.399999618530273"/>
  <x:cols>
    <x:col min="1" max="1" width="1.44140625" style="1" customWidth="1"/>
    <x:col min="2" max="2" width="18" style="1" hidden="0" customWidth="1"/>
    <x:col min="3" max="3" width="38" style="1" hidden="0" customWidth="1"/>
    <x:col min="4" max="4" width="20" style="1" hidden="0" customWidth="1"/>
    <x:col min="5" max="5" width="14" style="1" hidden="0" customWidth="1"/>
    <x:col min="6" max="6" width="16" style="1" hidden="0" customWidth="1"/>
    <x:col min="7" max="7" width="18" style="1" hidden="0" customWidth="1"/>
    <x:col min="8" max="8" width="1.6640625" style="1" customWidth="1"/>
    <x:col min="9" max="9" width="17.88671875" style="1" customWidth="1"/>
    <x:col min="10" max="10" width="12.33203125" style="1" customWidth="1"/>
    <x:col min="11" max="11" width="2.109375" style="1" customWidth="1"/>
    <x:col min="12" max="16384" width="11.44140625" style="1" customWidth="0"/>
  </x:cols>
  <x:sheetData>
    <x:row r="1" ht="25.799999237060547">
      <x:c r="B1" s="63" t="str">
        <x:v>Presupuesto del Proyecto – Signy</x:v>
      </x:c>
      <x:c r="C1" s="63"/>
      <x:c r="D1" s="63"/>
      <x:c r="E1" s="63"/>
      <x:c r="F1" s="63"/>
      <x:c r="G1" s="63"/>
    </x:row>
    <x:row r="2" ht="18">
      <x:c r="B2" s="7" t="str">
        <x:v>Elaborado por: Equipo Signy</x:v>
      </x:c>
      <x:c r="E2" s="1" t="str">
        <x:v>% Reserva de Contingencia</x:v>
      </x:c>
      <x:c r="G2" s="21" t="n">
        <x:v>0</x:v>
      </x:c>
    </x:row>
    <x:row r="3" ht="15.600000381469727">
      <x:c r="B3" s="8" t="str">
        <x:v>Líder del Proyecto: Fernanda Poblete</x:v>
      </x:c>
      <x:c r="D3" s="3"/>
      <x:c r="E3" s="73" t="str">
        <x:v>Presupuesto base</x:v>
      </x:c>
      <x:c r="F3" s="73" t="str">
        <x:v>Reservas</x:v>
      </x:c>
      <x:c r="G3" s="73" t="str">
        <x:v>Total</x:v>
      </x:c>
    </x:row>
    <x:row r="4" ht="15.600000381469727">
      <x:c r="B4" s="8" t="str">
        <x:v>Fecha de Inicio: 13/08/2026</x:v>
      </x:c>
      <x:c r="D4" s="5"/>
      <x:c r="E4" s="78" t="n">
        <x:f>G24</x:f>
        <x:v>3777449.593406593</x:v>
      </x:c>
      <x:c r="F4" s="78" t="n">
        <x:f>E4*$G$2</x:f>
        <x:v>0</x:v>
      </x:c>
      <x:c r="G4" s="78" t="n">
        <x:f>E4+F4</x:f>
        <x:v>3777449.593406593</x:v>
      </x:c>
    </x:row>
    <x:row r="5">
      <x:c r="E5" s="79"/>
      <x:c r="F5" s="79"/>
      <x:c r="G5" s="79"/>
    </x:row>
    <x:row r="6" ht="15.600000381469727">
      <x:c r="B6" s="73" t="str">
        <x:v>Categoría</x:v>
      </x:c>
      <x:c r="C6" s="73" t="str">
        <x:v>Recurso</x:v>
      </x:c>
      <x:c r="D6" s="73" t="str">
        <x:v>Unidad</x:v>
      </x:c>
      <x:c r="E6" s="80" t="str">
        <x:v>Cantidad</x:v>
      </x:c>
      <x:c r="F6" s="80" t="str">
        <x:v>Tasa CLP</x:v>
      </x:c>
      <x:c r="G6" s="80" t="str">
        <x:v>Presupuesto CLP</x:v>
      </x:c>
    </x:row>
    <x:row r="7">
      <x:c r="B7" s="90" t="str">
        <x:v>Labor</x:v>
      </x:c>
      <x:c r="C7" s="90" t="str">
        <x:v>Fernanda Poblete</x:v>
      </x:c>
      <x:c r="D7" s="90" t="str">
        <x:v>Horas</x:v>
      </x:c>
      <x:c r="E7" s="91" t="n">
        <x:v>110</x:v>
      </x:c>
      <x:c r="F7" s="91" t="n">
        <x:v>8603.21978021978</x:v>
      </x:c>
      <x:c r="G7" s="91" t="n">
        <x:f>E7*F7</x:f>
        <x:v>946354.1758241758</x:v>
      </x:c>
    </x:row>
    <x:row r="8">
      <x:c r="B8" s="92" t="str">
        <x:v>Labor</x:v>
      </x:c>
      <x:c r="C8" s="92" t="str">
        <x:v>Catalina Gutiérrez</x:v>
      </x:c>
      <x:c r="D8" s="92" t="str">
        <x:v>Horas</x:v>
      </x:c>
      <x:c r="E8" s="93" t="n">
        <x:v>110</x:v>
      </x:c>
      <x:c r="F8" s="93" t="n">
        <x:v>9098.060439560439</x:v>
      </x:c>
      <x:c r="G8" s="93" t="n">
        <x:f>E8*F8</x:f>
        <x:v>1000786.6483516482</x:v>
      </x:c>
    </x:row>
    <x:row r="9">
      <x:c r="B9" s="92" t="str">
        <x:v>Labor</x:v>
      </x:c>
      <x:c r="C9" s="92" t="str">
        <x:v>Benjamín Vallejos</x:v>
      </x:c>
      <x:c r="D9" s="92" t="str">
        <x:v>Horas</x:v>
      </x:c>
      <x:c r="E9" s="93" t="n">
        <x:v>110</x:v>
      </x:c>
      <x:c r="F9" s="94" t="n">
        <x:v>5769.2307692307695</x:v>
      </x:c>
      <x:c r="G9" s="94" t="n">
        <x:f>E9*F9</x:f>
        <x:v>634615.3846153846</x:v>
      </x:c>
    </x:row>
    <x:row r="10">
      <x:c r="B10" s="92" t="str">
        <x:v>Labor</x:v>
      </x:c>
      <x:c r="C10" s="92" t="str">
        <x:v>Michael Ibáñez</x:v>
      </x:c>
      <x:c r="D10" s="92" t="str">
        <x:v>Horas</x:v>
      </x:c>
      <x:c r="E10" s="93" t="n">
        <x:v>110</x:v>
      </x:c>
      <x:c r="F10" s="94" t="n">
        <x:v>5769.2307692307695</x:v>
      </x:c>
      <x:c r="G10" s="94" t="n">
        <x:f>E10*F10</x:f>
        <x:v>634615.3846153846</x:v>
      </x:c>
    </x:row>
    <x:row r="11">
      <x:c r="B11" s="92" t="str">
        <x:v>Consultoría</x:v>
      </x:c>
      <x:c r="C11" s="92" t="str">
        <x:v>Validación / apoyo profesional LSCh</x:v>
      </x:c>
      <x:c r="D11" s="92" t="str">
        <x:v>Horas</x:v>
      </x:c>
      <x:c r="E11" s="93" t="n">
        <x:v>4</x:v>
      </x:c>
      <x:c r="F11" s="93" t="n">
        <x:v>42017</x:v>
      </x:c>
      <x:c r="G11" s="93" t="n">
        <x:f>E11*F11</x:f>
        <x:v>168068</x:v>
      </x:c>
    </x:row>
    <x:row r="12">
      <x:c r="B12" s="92" t="str">
        <x:v>Materiales</x:v>
      </x:c>
      <x:c r="C12" s="92" t="str">
        <x:v>Incentivos pruebas de usabilidad</x:v>
      </x:c>
      <x:c r="D12" s="92" t="str">
        <x:v>Personas</x:v>
      </x:c>
      <x:c r="E12" s="93" t="n">
        <x:v>5</x:v>
      </x:c>
      <x:c r="F12" s="94" t="n">
        <x:v>10000</x:v>
      </x:c>
      <x:c r="G12" s="94" t="n">
        <x:f>E12*F12</x:f>
        <x:v>50000</x:v>
      </x:c>
    </x:row>
    <x:row r="13">
      <x:c r="B13" s="92" t="str">
        <x:v>Materiales</x:v>
      </x:c>
      <x:c r="C13" s="92" t="str">
        <x:v>Logística validación</x:v>
      </x:c>
      <x:c r="D13" s="92" t="str">
        <x:v>Ronda</x:v>
      </x:c>
      <x:c r="E13" s="93" t="n">
        <x:v>1</x:v>
      </x:c>
      <x:c r="F13" s="94" t="n">
        <x:v>50000</x:v>
      </x:c>
      <x:c r="G13" s="94" t="n">
        <x:f>E13*F13</x:f>
        <x:v>50000</x:v>
      </x:c>
    </x:row>
    <x:row r="14">
      <x:c r="B14" s="92" t="str">
        <x:v>Licencias</x:v>
      </x:c>
      <x:c r="C14" s="92" t="str">
        <x:v>Supabase Pro</x:v>
      </x:c>
      <x:c r="D14" s="92" t="str">
        <x:v>Meses</x:v>
      </x:c>
      <x:c r="E14" s="93" t="n">
        <x:v>12</x:v>
      </x:c>
      <x:c r="F14" s="93" t="n">
        <x:v>23585</x:v>
      </x:c>
      <x:c r="G14" s="93" t="n">
        <x:f>E14*F14</x:f>
        <x:v>283020</x:v>
      </x:c>
    </x:row>
    <x:row r="15">
      <x:c r="B15" s="92" t="str">
        <x:v>Licencias</x:v>
      </x:c>
      <x:c r="C15" s="92" t="str">
        <x:v>Dominio .CL</x:v>
      </x:c>
      <x:c r="D15" s="92" t="str">
        <x:v>Año</x:v>
      </x:c>
      <x:c r="E15" s="93" t="n">
        <x:v>1</x:v>
      </x:c>
      <x:c r="F15" s="94" t="n">
        <x:v>9990</x:v>
      </x:c>
      <x:c r="G15" s="94" t="n">
        <x:f>E15*F15</x:f>
        <x:v>9990</x:v>
      </x:c>
    </x:row>
    <x:row r="16">
      <x:c r="B16" s="92" t="str">
        <x:v>Licencias</x:v>
      </x:c>
      <x:c r="C16" s="92" t="str">
        <x:v>GitHub / Ionic / Angular / Capacitor / MediaPipe</x:v>
      </x:c>
      <x:c r="D16" s="92" t="str">
        <x:v>Open source / gratuito</x:v>
      </x:c>
      <x:c r="E16" s="93" t="n">
        <x:v>1</x:v>
      </x:c>
      <x:c r="F16" s="94" t="n">
        <x:v>0</x:v>
      </x:c>
      <x:c r="G16" s="94" t="n">
        <x:f>E16*F16</x:f>
        <x:v>0</x:v>
      </x:c>
    </x:row>
    <x:row r="17">
      <x:c r="B17" s="92" t="str">
        <x:v>Viajes</x:v>
      </x:c>
      <x:c r="C17" s="92" t="str">
        <x:v>Traslados incluidos en logística</x:v>
      </x:c>
      <x:c r="D17" s="92" t="str">
        <x:v>Incluido</x:v>
      </x:c>
      <x:c r="E17" s="93" t="n">
        <x:v>1</x:v>
      </x:c>
      <x:c r="F17" s="94" t="n">
        <x:v>0</x:v>
      </x:c>
      <x:c r="G17" s="94" t="n">
        <x:f>E17*F17</x:f>
        <x:v>0</x:v>
      </x:c>
    </x:row>
    <x:row r="18">
      <x:c r="B18" s="92" t="str">
        <x:v>Indirectos</x:v>
      </x:c>
      <x:c r="C18" s="92" t="str">
        <x:v>4 notebooks personales / Android</x:v>
      </x:c>
      <x:c r="D18" s="92" t="str">
        <x:v>Recurso existente</x:v>
      </x:c>
      <x:c r="E18" s="93" t="n">
        <x:v>1</x:v>
      </x:c>
      <x:c r="F18" s="93" t="n">
        <x:v>0</x:v>
      </x:c>
      <x:c r="G18" s="93" t="n">
        <x:f>E18*F18</x:f>
        <x:v>0</x:v>
      </x:c>
    </x:row>
    <x:row r="19">
      <x:c r="B19" s="92" t="str">
        <x:v>Indirectos</x:v>
      </x:c>
      <x:c r="C19" s="92" t="str">
        <x:v>Infraestructura Duoc UC</x:v>
      </x:c>
      <x:c r="D19" s="92" t="str">
        <x:v>Recurso institucional</x:v>
      </x:c>
      <x:c r="E19" s="93" t="n">
        <x:v>1</x:v>
      </x:c>
      <x:c r="F19" s="94" t="n">
        <x:v>0</x:v>
      </x:c>
      <x:c r="G19" s="94" t="n">
        <x:f>E19*F19</x:f>
        <x:v>0</x:v>
      </x:c>
    </x:row>
    <x:row r="20">
      <x:c r="B20" s="92" t="str">
        <x:v>Indirectos</x:v>
      </x:c>
      <x:c r="C20" s="92" t="str">
        <x:v>Apoyo DIDECO Huechuraba</x:v>
      </x:c>
      <x:c r="D20" s="92" t="str">
        <x:v>Aporte no monetario</x:v>
      </x:c>
      <x:c r="E20" s="93" t="n">
        <x:v>1</x:v>
      </x:c>
      <x:c r="F20" s="94" t="n">
        <x:v>0</x:v>
      </x:c>
      <x:c r="G20" s="94" t="n">
        <x:f>E20*F20</x:f>
        <x:v>0</x:v>
      </x:c>
    </x:row>
    <x:row r="21">
      <x:c r="B21" s="92"/>
      <x:c r="C21" s="92"/>
      <x:c r="D21" s="92"/>
      <x:c r="E21" s="93"/>
      <x:c r="F21" s="93"/>
      <x:c r="G21" s="93"/>
    </x:row>
    <x:row r="22">
      <x:c r="B22" s="95" t="str">
        <x:v>TOTAL COSTO DE OPORTUNIDAD DEL EQUIPO</x:v>
      </x:c>
      <x:c r="C22" s="92"/>
      <x:c r="D22" s="92"/>
      <x:c r="E22" s="93"/>
      <x:c r="F22" s="94"/>
      <x:c r="G22" s="94" t="n">
        <x:f>SUM(G7:G10)</x:f>
        <x:v>3216371.593406593</x:v>
      </x:c>
    </x:row>
    <x:row r="23">
      <x:c r="B23" s="92" t="str">
        <x:v>TOTAL DESEMBOLSO DIRECTO</x:v>
      </x:c>
      <x:c r="C23" s="92"/>
      <x:c r="D23" s="92"/>
      <x:c r="E23" s="93"/>
      <x:c r="F23" s="94"/>
      <x:c r="G23" s="94" t="n">
        <x:f>SUM(G11:G15)</x:f>
        <x:v>561078</x:v>
      </x:c>
    </x:row>
    <x:row r="24">
      <x:c r="B24" s="90" t="str">
        <x:v>TOTAL COSTO ECONÓMICO BASE</x:v>
      </x:c>
      <x:c r="C24" s="90"/>
      <x:c r="D24" s="90"/>
      <x:c r="E24" s="91"/>
      <x:c r="F24" s="91"/>
      <x:c r="G24" s="91" t="n">
        <x:f>G22+G23</x:f>
        <x:v>3777449.593406593</x:v>
      </x:c>
    </x:row>
    <x:row r="25">
      <x:c r="B25" s="92" t="str">
        <x:v>Sin ingresos comprometidos ni patrocinio financiero. DIDECO Huechuraba aporta vinculación, no dinero.</x:v>
      </x:c>
      <x:c r="C25" s="92"/>
      <x:c r="D25" s="92"/>
      <x:c r="E25" s="92"/>
      <x:c r="F25" s="96"/>
      <x:c r="G25" s="97"/>
    </x:row>
    <x:row r="26">
      <x:c r="B26" s="16"/>
      <x:c r="C26" s="13"/>
      <x:c r="D26" s="13"/>
      <x:c r="E26" s="16"/>
      <x:c r="F26" s="23"/>
      <x:c r="G26" s="24"/>
    </x:row>
    <x:row r="27">
      <x:c r="B27" s="16"/>
      <x:c r="C27" s="13"/>
      <x:c r="D27" s="13"/>
      <x:c r="E27" s="16"/>
      <x:c r="F27" s="23"/>
      <x:c r="G27" s="24"/>
    </x:row>
  </x:sheetData>
  <x:mergeCells>
    <x:mergeCell ref="B1:G1"/>
    <x:mergeCell ref="B22:F22"/>
    <x:mergeCell ref="B23:F23"/>
    <x:mergeCell ref="B24:F24"/>
    <x:mergeCell ref="B25:G25"/>
  </x:mergeCells>
  <x:pageMargins left="0.7" right="0.7" top="0.75" bottom="0.75" header="0.3" footer="0.3"/>
</x:worksheet>
</file>

<file path=xl/worksheets/sheet2.xml><?xml version="1.0" encoding="utf-8"?>
<x:worksheet xmlns:x="http://schemas.openxmlformats.org/spreadsheetml/2006/main">
  <x:sheetFormatPr baseColWidth="10" defaultColWidth="11.44140625" defaultRowHeight="14.399999618530273"/>
  <x:cols>
    <x:col min="1" max="1" width="1.44140625" style="1" customWidth="1"/>
    <x:col min="2" max="2" width="7.88671875" style="1" customWidth="1"/>
    <x:col min="3" max="3" width="16.44140625" style="1" customWidth="1"/>
    <x:col min="4" max="4" width="27" style="1" customWidth="1"/>
    <x:col min="5" max="5" width="16.33203125" style="1" customWidth="1"/>
    <x:col min="6" max="6" width="18" style="1" customWidth="1"/>
    <x:col min="7" max="7" width="14.5546875" style="1" customWidth="1"/>
    <x:col min="8" max="8" width="9.44140625" style="1" customWidth="1"/>
    <x:col min="9" max="9" width="13.109375" style="1" customWidth="1"/>
    <x:col min="10" max="10" width="2" style="1" customWidth="1"/>
    <x:col min="11" max="11" width="12.33203125" style="1" customWidth="1"/>
    <x:col min="12" max="12" width="2.109375" style="1" customWidth="1"/>
    <x:col min="13" max="16384" width="11.44140625" style="1" customWidth="0"/>
  </x:cols>
  <x:sheetData>
    <x:row r="1" ht="25.799999237060547">
      <x:c r="B1" s="6" t="s">
        <x:v>0</x:v>
      </x:c>
      <x:c r="G1" s="4" t="s">
        <x:v>1</x:v>
      </x:c>
    </x:row>
    <x:row r="2" ht="18">
      <x:c r="B2" s="7" t="s">
        <x:v>2</x:v>
      </x:c>
      <x:c r="G2" s="1" t="s">
        <x:v>3</x:v>
      </x:c>
      <x:c r="I2" s="21">
        <x:v>0.3</x:v>
      </x:c>
    </x:row>
    <x:row r="3" ht="15.75" customHeight="1">
      <x:c r="B3" s="8" t="s">
        <x:v>4</x:v>
      </x:c>
      <x:c r="E3" s="3"/>
      <x:c r="F3" s="3"/>
      <x:c r="G3" s="10" t="s">
        <x:v>5</x:v>
      </x:c>
      <x:c r="H3" s="10" t="s">
        <x:v>6</x:v>
      </x:c>
      <x:c r="I3" s="10" t="s">
        <x:v>7</x:v>
      </x:c>
    </x:row>
    <x:row r="4" ht="15" customHeight="1">
      <x:c r="B4" s="8" t="s">
        <x:v>8</x:v>
      </x:c>
      <x:c r="E4" s="5" t="s">
        <x:v>7</x:v>
      </x:c>
      <x:c r="F4" s="5"/>
      <x:c r="G4" s="22" t="n">
        <x:f>I7+I55</x:f>
        <x:v>0</x:v>
      </x:c>
      <x:c r="H4" s="22" t="n">
        <x:f>G4*I2</x:f>
        <x:v>0</x:v>
      </x:c>
      <x:c r="I4" s="22" t="n">
        <x:f>SUM(G4:H4)</x:f>
        <x:v>0</x:v>
      </x:c>
    </x:row>
    <x:row r="6" ht="15.600000381469727">
      <x:c r="B6" s="9" t="s">
        <x:v>9</x:v>
      </x:c>
      <x:c r="C6" s="10" t="s">
        <x:v>10</x:v>
      </x:c>
      <x:c r="D6" s="10" t="s">
        <x:v>11</x:v>
      </x:c>
      <x:c r="E6" s="10" t="s">
        <x:v>12</x:v>
      </x:c>
      <x:c r="F6" s="10" t="s">
        <x:v>13</x:v>
      </x:c>
      <x:c r="G6" s="10" t="s">
        <x:v>14</x:v>
      </x:c>
      <x:c r="H6" s="10" t="s">
        <x:v>15</x:v>
      </x:c>
      <x:c r="I6" s="10" t="s">
        <x:v>5</x:v>
      </x:c>
    </x:row>
    <x:row r="7" ht="15" customHeight="1">
      <x:c r="B7" s="11">
        <x:v>1</x:v>
      </x:c>
      <x:c r="C7" s="11" t="s">
        <x:v>16</x:v>
      </x:c>
      <x:c r="D7" s="12"/>
      <x:c r="E7" s="12"/>
      <x:c r="F7" s="12"/>
      <x:c r="G7" s="26"/>
      <x:c r="H7" s="12"/>
      <x:c r="I7" s="20" t="n">
        <x:f>I8+I39</x:f>
        <x:v>0</x:v>
      </x:c>
    </x:row>
    <x:row r="8">
      <x:c r="B8" s="13" t="s">
        <x:v>17</x:v>
      </x:c>
      <x:c r="C8" s="15" t="s">
        <x:v>18</x:v>
      </x:c>
      <x:c r="D8" s="16"/>
      <x:c r="E8" s="16"/>
      <x:c r="F8" s="16"/>
      <x:c r="G8" s="23"/>
      <x:c r="H8" s="16"/>
      <x:c r="I8" s="19" t="n">
        <x:f>I9+I24</x:f>
        <x:v>0</x:v>
      </x:c>
    </x:row>
    <x:row r="9">
      <x:c r="B9" s="13" t="s">
        <x:v>19</x:v>
      </x:c>
      <x:c r="C9" s="17" t="s">
        <x:v>20</x:v>
      </x:c>
      <x:c r="D9" s="16"/>
      <x:c r="E9" s="16"/>
      <x:c r="F9" s="16"/>
      <x:c r="G9" s="23"/>
      <x:c r="H9" s="16"/>
      <x:c r="I9" s="19" t="n">
        <x:f>SUM(I10:I23)</x:f>
        <x:v>0</x:v>
      </x:c>
    </x:row>
    <x:row r="10">
      <x:c r="B10" s="13"/>
      <x:c r="C10" s="16"/>
      <x:c r="D10" s="16" t="s">
        <x:v>21</x:v>
      </x:c>
      <x:c r="E10" s="18" t="str">
        <x:f>VLOOKUP(D10,Datos!$B$8:$E$21,2,)</x:f>
        <x:v>Labor (Personal)</x:v>
      </x:c>
      <x:c r="F10" s="18" t="str">
        <x:f>VLOOKUP(D10,Datos!$B$8:$E$21,3,)</x:f>
        <x:v>Horas / Jornadas</x:v>
      </x:c>
      <x:c r="G10" s="23">
        <x:v>0</x:v>
      </x:c>
      <x:c r="H10" s="18" t="n">
        <x:f>VLOOKUP(D10,Datos!$B$8:$E$21,4,)</x:f>
        <x:v>1</x:v>
      </x:c>
      <x:c r="I10" s="19" t="n">
        <x:f>G10*H10</x:f>
        <x:v>0</x:v>
      </x:c>
    </x:row>
    <x:row r="11">
      <x:c r="B11" s="13"/>
      <x:c r="C11" s="16"/>
      <x:c r="D11" s="16" t="s">
        <x:v>22</x:v>
      </x:c>
      <x:c r="E11" s="18" t="str">
        <x:f>VLOOKUP(D11,Datos!$B$8:$E$21,2,)</x:f>
        <x:v>Labor (Personal)</x:v>
      </x:c>
      <x:c r="F11" s="18" t="str">
        <x:f>VLOOKUP(D11,Datos!$B$8:$E$21,3,)</x:f>
        <x:v>Horas / Jornadas</x:v>
      </x:c>
      <x:c r="G11" s="23">
        <x:v>0</x:v>
      </x:c>
      <x:c r="H11" s="18" t="n">
        <x:f>VLOOKUP(D11,Datos!$B$8:$E$21,4)</x:f>
        <x:v>1</x:v>
      </x:c>
      <x:c r="I11" s="19" t="n">
        <x:f t="shared" ref="I11:I23" si="0">G11*H11</x:f>
        <x:v>0</x:v>
      </x:c>
    </x:row>
    <x:row r="12">
      <x:c r="B12" s="13"/>
      <x:c r="C12" s="16"/>
      <x:c r="D12" s="16" t="s">
        <x:v>23</x:v>
      </x:c>
      <x:c r="E12" s="18" t="str">
        <x:f>VLOOKUP(D12,Datos!$B$8:$E$21,2,)</x:f>
        <x:v>Consultoría</x:v>
      </x:c>
      <x:c r="F12" s="18" t="str">
        <x:f>VLOOKUP(D12,Datos!$B$8:$E$21,3,)</x:f>
        <x:v>Horas / Jornadas</x:v>
      </x:c>
      <x:c r="G12" s="23">
        <x:v>0</x:v>
      </x:c>
      <x:c r="H12" s="18" t="n">
        <x:f>VLOOKUP(D12,Datos!$B$8:$E$21,4)</x:f>
        <x:v>1</x:v>
      </x:c>
      <x:c r="I12" s="19">
        <x:f t="shared" si="0"/>
        <x:v>0</x:v>
      </x:c>
    </x:row>
    <x:row r="13">
      <x:c r="B13" s="13"/>
      <x:c r="C13" s="16"/>
      <x:c r="D13" s="16" t="s">
        <x:v>24</x:v>
      </x:c>
      <x:c r="E13" s="18" t="str">
        <x:f>VLOOKUP(D13,Datos!$B$8:$E$21,2,)</x:f>
        <x:v>Consultoría</x:v>
      </x:c>
      <x:c r="F13" s="18" t="str">
        <x:f>VLOOKUP(D13,Datos!$B$8:$E$21,3,)</x:f>
        <x:v>Horas / Jornadas</x:v>
      </x:c>
      <x:c r="G13" s="23">
        <x:v>0</x:v>
      </x:c>
      <x:c r="H13" s="18" t="n">
        <x:f>VLOOKUP(D13,Datos!$B$8:$E$21,4)</x:f>
        <x:v>1</x:v>
      </x:c>
      <x:c r="I13" s="19">
        <x:f t="shared" si="0"/>
        <x:v>0</x:v>
      </x:c>
    </x:row>
    <x:row r="14">
      <x:c r="B14" s="13"/>
      <x:c r="C14" s="16"/>
      <x:c r="D14" s="16" t="s">
        <x:v>25</x:v>
      </x:c>
      <x:c r="E14" s="18" t="str">
        <x:f>VLOOKUP(D14,Datos!$B$8:$E$21,2,)</x:f>
        <x:v>Materiales</x:v>
      </x:c>
      <x:c r="F14" s="18" t="str">
        <x:f>VLOOKUP(D14,Datos!$B$8:$E$21,3,)</x:f>
        <x:v>Cantidad</x:v>
      </x:c>
      <x:c r="G14" s="23">
        <x:v>0</x:v>
      </x:c>
      <x:c r="H14" s="18" t="n">
        <x:f>VLOOKUP(D14,Datos!$B$8:$E$21,4)</x:f>
        <x:v>1</x:v>
      </x:c>
      <x:c r="I14" s="19">
        <x:f t="shared" si="0"/>
        <x:v>0</x:v>
      </x:c>
    </x:row>
    <x:row r="15">
      <x:c r="B15" s="13"/>
      <x:c r="C15" s="16"/>
      <x:c r="D15" s="16" t="s">
        <x:v>26</x:v>
      </x:c>
      <x:c r="E15" s="18" t="str">
        <x:f>VLOOKUP(D15,Datos!$B$8:$E$21,2,)</x:f>
        <x:v>Materiales</x:v>
      </x:c>
      <x:c r="F15" s="18" t="str">
        <x:f>VLOOKUP(D15,Datos!$B$8:$E$21,3,)</x:f>
        <x:v>Cantidad</x:v>
      </x:c>
      <x:c r="G15" s="23">
        <x:v>0</x:v>
      </x:c>
      <x:c r="H15" s="18" t="n">
        <x:f>VLOOKUP(D15,Datos!$B$8:$E$21,4)</x:f>
        <x:v>1</x:v>
      </x:c>
      <x:c r="I15" s="19">
        <x:f t="shared" si="0"/>
        <x:v>0</x:v>
      </x:c>
    </x:row>
    <x:row r="16">
      <x:c r="B16" s="13"/>
      <x:c r="C16" s="16"/>
      <x:c r="D16" s="16" t="s">
        <x:v>27</x:v>
      </x:c>
      <x:c r="E16" s="18" t="str">
        <x:f>VLOOKUP(D16,Datos!$B$8:$E$21,2,)</x:f>
        <x:v>Materiales</x:v>
      </x:c>
      <x:c r="F16" s="18" t="str">
        <x:f>VLOOKUP(D16,Datos!$B$8:$E$21,3,)</x:f>
        <x:v>Cantidad</x:v>
      </x:c>
      <x:c r="G16" s="23">
        <x:v>0</x:v>
      </x:c>
      <x:c r="H16" s="18" t="n">
        <x:f>VLOOKUP(D16,Datos!$B$8:$E$21,4)</x:f>
        <x:v>1</x:v>
      </x:c>
      <x:c r="I16" s="19">
        <x:f t="shared" si="0"/>
        <x:v>0</x:v>
      </x:c>
    </x:row>
    <x:row r="17">
      <x:c r="B17" s="13"/>
      <x:c r="C17" s="16"/>
      <x:c r="D17" s="16" t="s">
        <x:v>28</x:v>
      </x:c>
      <x:c r="E17" s="18" t="str">
        <x:f>VLOOKUP(D17,Datos!$B$8:$E$21,2,)</x:f>
        <x:v>Licencias</x:v>
      </x:c>
      <x:c r="F17" s="18" t="str">
        <x:f>VLOOKUP(D17,Datos!$B$8:$E$21,3,)</x:f>
        <x:v>Cantidad</x:v>
      </x:c>
      <x:c r="G17" s="23">
        <x:v>0</x:v>
      </x:c>
      <x:c r="H17" s="18" t="n">
        <x:f>VLOOKUP(D17,Datos!$B$8:$E$21,4)</x:f>
        <x:v>1</x:v>
      </x:c>
      <x:c r="I17" s="19">
        <x:f t="shared" si="0"/>
        <x:v>0</x:v>
      </x:c>
    </x:row>
    <x:row r="18">
      <x:c r="B18" s="13"/>
      <x:c r="C18" s="16"/>
      <x:c r="D18" s="16" t="s">
        <x:v>29</x:v>
      </x:c>
      <x:c r="E18" s="18" t="str">
        <x:f>VLOOKUP(D18,Datos!$B$8:$E$21,2,)</x:f>
        <x:v>Licencias</x:v>
      </x:c>
      <x:c r="F18" s="18" t="str">
        <x:f>VLOOKUP(D18,Datos!$B$8:$E$21,3,)</x:f>
        <x:v>Cantidad</x:v>
      </x:c>
      <x:c r="G18" s="23">
        <x:v>0</x:v>
      </x:c>
      <x:c r="H18" s="18" t="n">
        <x:f>VLOOKUP(D18,Datos!$B$8:$E$21,4)</x:f>
        <x:v>1</x:v>
      </x:c>
      <x:c r="I18" s="19">
        <x:f t="shared" si="0"/>
        <x:v>0</x:v>
      </x:c>
    </x:row>
    <x:row r="19">
      <x:c r="B19" s="13"/>
      <x:c r="C19" s="16"/>
      <x:c r="D19" s="16" t="s">
        <x:v>30</x:v>
      </x:c>
      <x:c r="E19" s="18" t="str">
        <x:f>VLOOKUP(D19,Datos!$B$8:$E$21,2,)</x:f>
        <x:v>Viajes</x:v>
      </x:c>
      <x:c r="F19" s="18" t="str">
        <x:f>VLOOKUP(D19,Datos!$B$8:$E$21,3,)</x:f>
        <x:v>Cantidad</x:v>
      </x:c>
      <x:c r="G19" s="23">
        <x:v>0</x:v>
      </x:c>
      <x:c r="H19" s="18" t="n">
        <x:f>VLOOKUP(D19,Datos!$B$8:$E$21,4)</x:f>
        <x:v>1</x:v>
      </x:c>
      <x:c r="I19" s="19">
        <x:f t="shared" si="0"/>
        <x:v>0</x:v>
      </x:c>
    </x:row>
    <x:row r="20">
      <x:c r="B20" s="13"/>
      <x:c r="C20" s="16"/>
      <x:c r="D20" s="16" t="s">
        <x:v>31</x:v>
      </x:c>
      <x:c r="E20" s="18" t="str">
        <x:f>VLOOKUP(D20,Datos!$B$8:$E$21,2,)</x:f>
        <x:v>Viajes</x:v>
      </x:c>
      <x:c r="F20" s="18" t="str">
        <x:f>VLOOKUP(D20,Datos!$B$8:$E$21,3,)</x:f>
        <x:v>Cantidad</x:v>
      </x:c>
      <x:c r="G20" s="23">
        <x:v>0</x:v>
      </x:c>
      <x:c r="H20" s="18" t="n">
        <x:f>VLOOKUP(D20,Datos!$B$8:$E$21,4)</x:f>
        <x:v>1</x:v>
      </x:c>
      <x:c r="I20" s="19">
        <x:f t="shared" si="0"/>
        <x:v>0</x:v>
      </x:c>
    </x:row>
    <x:row r="21">
      <x:c r="B21" s="13"/>
      <x:c r="C21" s="13"/>
      <x:c r="D21" s="13" t="s">
        <x:v>32</x:v>
      </x:c>
      <x:c r="E21" s="18" t="str">
        <x:f>VLOOKUP(D21,Datos!$B$8:$E$21,2,)</x:f>
        <x:v>Gastos Indirectos</x:v>
      </x:c>
      <x:c r="F21" s="18" t="str">
        <x:f>VLOOKUP(D21,Datos!$B$8:$E$21,3,)</x:f>
        <x:v>NA</x:v>
      </x:c>
      <x:c r="G21" s="23">
        <x:v>0</x:v>
      </x:c>
      <x:c r="H21" s="18" t="n">
        <x:f>VLOOKUP(D21,Datos!$B$8:$E$21,4)</x:f>
        <x:v>1</x:v>
      </x:c>
      <x:c r="I21" s="19">
        <x:f t="shared" si="0"/>
        <x:v>0</x:v>
      </x:c>
    </x:row>
    <x:row r="22">
      <x:c r="B22" s="13"/>
      <x:c r="C22" s="13"/>
      <x:c r="D22" s="13" t="s">
        <x:v>33</x:v>
      </x:c>
      <x:c r="E22" s="18" t="str">
        <x:f>VLOOKUP(D22,Datos!$B$8:$E$21,2,)</x:f>
        <x:v>Gastos Indirectos</x:v>
      </x:c>
      <x:c r="F22" s="18" t="str">
        <x:f>VLOOKUP(D22,Datos!$B$8:$E$21,3,)</x:f>
        <x:v>NA</x:v>
      </x:c>
      <x:c r="G22" s="23">
        <x:v>0</x:v>
      </x:c>
      <x:c r="H22" s="18" t="n">
        <x:f>VLOOKUP(D22,Datos!$B$8:$E$21,4)</x:f>
        <x:v>1</x:v>
      </x:c>
      <x:c r="I22" s="19">
        <x:f t="shared" si="0"/>
        <x:v>0</x:v>
      </x:c>
    </x:row>
    <x:row r="23">
      <x:c r="B23" s="13"/>
      <x:c r="C23" s="14"/>
      <x:c r="D23" s="13" t="s">
        <x:v>34</x:v>
      </x:c>
      <x:c r="E23" s="18" t="str">
        <x:f>VLOOKUP(D23,Datos!$B$8:$E$21,2,)</x:f>
        <x:v>Gastos Indirectos</x:v>
      </x:c>
      <x:c r="F23" s="18" t="str">
        <x:f>VLOOKUP(D23,Datos!$B$8:$E$21,3,)</x:f>
        <x:v>NA</x:v>
      </x:c>
      <x:c r="G23" s="23">
        <x:v>0</x:v>
      </x:c>
      <x:c r="H23" s="18" t="n">
        <x:f>VLOOKUP(D23,Datos!$B$8:$E$21,4)</x:f>
        <x:v>1</x:v>
      </x:c>
      <x:c r="I23" s="19">
        <x:f t="shared" si="0"/>
        <x:v>0</x:v>
      </x:c>
    </x:row>
    <x:row r="24">
      <x:c r="B24" s="14" t="s">
        <x:v>35</x:v>
      </x:c>
      <x:c r="C24" s="17" t="s">
        <x:v>20</x:v>
      </x:c>
      <x:c r="D24" s="16"/>
      <x:c r="E24" s="16"/>
      <x:c r="F24" s="16"/>
      <x:c r="G24" s="23"/>
      <x:c r="H24" s="16"/>
      <x:c r="I24" s="19" t="n">
        <x:f>SUM(I25:I38)</x:f>
        <x:v>0</x:v>
      </x:c>
    </x:row>
    <x:row r="25">
      <x:c r="B25" s="14"/>
      <x:c r="C25" s="16"/>
      <x:c r="D25" s="16" t="s">
        <x:v>21</x:v>
      </x:c>
      <x:c r="E25" s="18" t="str">
        <x:f>VLOOKUP(D25,Datos!$B$8:$E$21,2,)</x:f>
        <x:v>Labor (Personal)</x:v>
      </x:c>
      <x:c r="F25" s="18" t="str">
        <x:f>VLOOKUP(D25,Datos!$B$8:$E$21,3,)</x:f>
        <x:v>Horas / Jornadas</x:v>
      </x:c>
      <x:c r="G25" s="23">
        <x:v>0</x:v>
      </x:c>
      <x:c r="H25" s="18" t="n">
        <x:f>VLOOKUP(D25,Datos!$B$8:$E$21,4,)</x:f>
        <x:v>1</x:v>
      </x:c>
      <x:c r="I25" s="19" t="n">
        <x:f>G25*H25</x:f>
        <x:v>0</x:v>
      </x:c>
    </x:row>
    <x:row r="26">
      <x:c r="B26" s="14"/>
      <x:c r="C26" s="16"/>
      <x:c r="D26" s="16" t="s">
        <x:v>22</x:v>
      </x:c>
      <x:c r="E26" s="18" t="str">
        <x:f>VLOOKUP(D26,Datos!$B$8:$E$21,2,)</x:f>
        <x:v>Labor (Personal)</x:v>
      </x:c>
      <x:c r="F26" s="18" t="str">
        <x:f>VLOOKUP(D26,Datos!$B$8:$E$21,3,)</x:f>
        <x:v>Horas / Jornadas</x:v>
      </x:c>
      <x:c r="G26" s="23">
        <x:v>0</x:v>
      </x:c>
      <x:c r="H26" s="18" t="n">
        <x:f>VLOOKUP(D26,Datos!$B$8:$E$21,4)</x:f>
        <x:v>1</x:v>
      </x:c>
      <x:c r="I26" s="19" t="n">
        <x:f t="shared" ref="I26:I38" si="1">G26*H26</x:f>
        <x:v>0</x:v>
      </x:c>
    </x:row>
    <x:row r="27">
      <x:c r="B27" s="14"/>
      <x:c r="C27" s="16"/>
      <x:c r="D27" s="16" t="s">
        <x:v>23</x:v>
      </x:c>
      <x:c r="E27" s="18" t="str">
        <x:f>VLOOKUP(D27,Datos!$B$8:$E$21,2,)</x:f>
        <x:v>Consultoría</x:v>
      </x:c>
      <x:c r="F27" s="18" t="str">
        <x:f>VLOOKUP(D27,Datos!$B$8:$E$21,3,)</x:f>
        <x:v>Horas / Jornadas</x:v>
      </x:c>
      <x:c r="G27" s="23">
        <x:v>0</x:v>
      </x:c>
      <x:c r="H27" s="18" t="n">
        <x:f>VLOOKUP(D27,Datos!$B$8:$E$21,4)</x:f>
        <x:v>1</x:v>
      </x:c>
      <x:c r="I27" s="19">
        <x:f t="shared" si="1"/>
        <x:v>0</x:v>
      </x:c>
    </x:row>
    <x:row r="28">
      <x:c r="B28" s="14"/>
      <x:c r="C28" s="16"/>
      <x:c r="D28" s="16" t="s">
        <x:v>24</x:v>
      </x:c>
      <x:c r="E28" s="18" t="str">
        <x:f>VLOOKUP(D28,Datos!$B$8:$E$21,2,)</x:f>
        <x:v>Consultoría</x:v>
      </x:c>
      <x:c r="F28" s="18" t="str">
        <x:f>VLOOKUP(D28,Datos!$B$8:$E$21,3,)</x:f>
        <x:v>Horas / Jornadas</x:v>
      </x:c>
      <x:c r="G28" s="23">
        <x:v>0</x:v>
      </x:c>
      <x:c r="H28" s="18" t="n">
        <x:f>VLOOKUP(D28,Datos!$B$8:$E$21,4)</x:f>
        <x:v>1</x:v>
      </x:c>
      <x:c r="I28" s="19">
        <x:f t="shared" si="1"/>
        <x:v>0</x:v>
      </x:c>
    </x:row>
    <x:row r="29">
      <x:c r="B29" s="14"/>
      <x:c r="C29" s="16"/>
      <x:c r="D29" s="16" t="s">
        <x:v>25</x:v>
      </x:c>
      <x:c r="E29" s="18" t="str">
        <x:f>VLOOKUP(D29,Datos!$B$8:$E$21,2,)</x:f>
        <x:v>Materiales</x:v>
      </x:c>
      <x:c r="F29" s="18" t="str">
        <x:f>VLOOKUP(D29,Datos!$B$8:$E$21,3,)</x:f>
        <x:v>Cantidad</x:v>
      </x:c>
      <x:c r="G29" s="23">
        <x:v>0</x:v>
      </x:c>
      <x:c r="H29" s="18" t="n">
        <x:f>VLOOKUP(D29,Datos!$B$8:$E$21,4)</x:f>
        <x:v>1</x:v>
      </x:c>
      <x:c r="I29" s="19">
        <x:f t="shared" si="1"/>
        <x:v>0</x:v>
      </x:c>
    </x:row>
    <x:row r="30">
      <x:c r="B30" s="14"/>
      <x:c r="C30" s="16"/>
      <x:c r="D30" s="16" t="s">
        <x:v>26</x:v>
      </x:c>
      <x:c r="E30" s="18" t="str">
        <x:f>VLOOKUP(D30,Datos!$B$8:$E$21,2,)</x:f>
        <x:v>Materiales</x:v>
      </x:c>
      <x:c r="F30" s="18" t="str">
        <x:f>VLOOKUP(D30,Datos!$B$8:$E$21,3,)</x:f>
        <x:v>Cantidad</x:v>
      </x:c>
      <x:c r="G30" s="23">
        <x:v>0</x:v>
      </x:c>
      <x:c r="H30" s="18" t="n">
        <x:f>VLOOKUP(D30,Datos!$B$8:$E$21,4)</x:f>
        <x:v>1</x:v>
      </x:c>
      <x:c r="I30" s="19">
        <x:f t="shared" si="1"/>
        <x:v>0</x:v>
      </x:c>
    </x:row>
    <x:row r="31">
      <x:c r="B31" s="14"/>
      <x:c r="C31" s="16"/>
      <x:c r="D31" s="16" t="s">
        <x:v>27</x:v>
      </x:c>
      <x:c r="E31" s="18" t="str">
        <x:f>VLOOKUP(D31,Datos!$B$8:$E$21,2,)</x:f>
        <x:v>Materiales</x:v>
      </x:c>
      <x:c r="F31" s="18" t="str">
        <x:f>VLOOKUP(D31,Datos!$B$8:$E$21,3,)</x:f>
        <x:v>Cantidad</x:v>
      </x:c>
      <x:c r="G31" s="23">
        <x:v>0</x:v>
      </x:c>
      <x:c r="H31" s="18" t="n">
        <x:f>VLOOKUP(D31,Datos!$B$8:$E$21,4)</x:f>
        <x:v>1</x:v>
      </x:c>
      <x:c r="I31" s="19">
        <x:f t="shared" si="1"/>
        <x:v>0</x:v>
      </x:c>
    </x:row>
    <x:row r="32">
      <x:c r="B32" s="14"/>
      <x:c r="C32" s="16"/>
      <x:c r="D32" s="16" t="s">
        <x:v>28</x:v>
      </x:c>
      <x:c r="E32" s="18" t="str">
        <x:f>VLOOKUP(D32,Datos!$B$8:$E$21,2,)</x:f>
        <x:v>Licencias</x:v>
      </x:c>
      <x:c r="F32" s="18" t="str">
        <x:f>VLOOKUP(D32,Datos!$B$8:$E$21,3,)</x:f>
        <x:v>Cantidad</x:v>
      </x:c>
      <x:c r="G32" s="23">
        <x:v>0</x:v>
      </x:c>
      <x:c r="H32" s="18" t="n">
        <x:f>VLOOKUP(D32,Datos!$B$8:$E$21,4)</x:f>
        <x:v>1</x:v>
      </x:c>
      <x:c r="I32" s="19">
        <x:f t="shared" si="1"/>
        <x:v>0</x:v>
      </x:c>
    </x:row>
    <x:row r="33">
      <x:c r="B33" s="14"/>
      <x:c r="C33" s="16"/>
      <x:c r="D33" s="16" t="s">
        <x:v>29</x:v>
      </x:c>
      <x:c r="E33" s="18" t="str">
        <x:f>VLOOKUP(D33,Datos!$B$8:$E$21,2,)</x:f>
        <x:v>Licencias</x:v>
      </x:c>
      <x:c r="F33" s="18" t="str">
        <x:f>VLOOKUP(D33,Datos!$B$8:$E$21,3,)</x:f>
        <x:v>Cantidad</x:v>
      </x:c>
      <x:c r="G33" s="23">
        <x:v>0</x:v>
      </x:c>
      <x:c r="H33" s="18" t="n">
        <x:f>VLOOKUP(D33,Datos!$B$8:$E$21,4)</x:f>
        <x:v>1</x:v>
      </x:c>
      <x:c r="I33" s="19">
        <x:f t="shared" si="1"/>
        <x:v>0</x:v>
      </x:c>
    </x:row>
    <x:row r="34">
      <x:c r="B34" s="14"/>
      <x:c r="C34" s="16"/>
      <x:c r="D34" s="16" t="s">
        <x:v>30</x:v>
      </x:c>
      <x:c r="E34" s="18" t="str">
        <x:f>VLOOKUP(D34,Datos!$B$8:$E$21,2,)</x:f>
        <x:v>Viajes</x:v>
      </x:c>
      <x:c r="F34" s="18" t="str">
        <x:f>VLOOKUP(D34,Datos!$B$8:$E$21,3,)</x:f>
        <x:v>Cantidad</x:v>
      </x:c>
      <x:c r="G34" s="23">
        <x:v>0</x:v>
      </x:c>
      <x:c r="H34" s="18" t="n">
        <x:f>VLOOKUP(D34,Datos!$B$8:$E$21,4)</x:f>
        <x:v>1</x:v>
      </x:c>
      <x:c r="I34" s="19">
        <x:f t="shared" si="1"/>
        <x:v>0</x:v>
      </x:c>
    </x:row>
    <x:row r="35">
      <x:c r="B35" s="14"/>
      <x:c r="C35" s="16"/>
      <x:c r="D35" s="16" t="s">
        <x:v>31</x:v>
      </x:c>
      <x:c r="E35" s="18" t="str">
        <x:f>VLOOKUP(D35,Datos!$B$8:$E$21,2,)</x:f>
        <x:v>Viajes</x:v>
      </x:c>
      <x:c r="F35" s="18" t="str">
        <x:f>VLOOKUP(D35,Datos!$B$8:$E$21,3,)</x:f>
        <x:v>Cantidad</x:v>
      </x:c>
      <x:c r="G35" s="23">
        <x:v>0</x:v>
      </x:c>
      <x:c r="H35" s="18" t="n">
        <x:f>VLOOKUP(D35,Datos!$B$8:$E$21,4)</x:f>
        <x:v>1</x:v>
      </x:c>
      <x:c r="I35" s="19">
        <x:f t="shared" si="1"/>
        <x:v>0</x:v>
      </x:c>
    </x:row>
    <x:row r="36">
      <x:c r="B36" s="14"/>
      <x:c r="C36" s="13"/>
      <x:c r="D36" s="13" t="s">
        <x:v>32</x:v>
      </x:c>
      <x:c r="E36" s="18" t="str">
        <x:f>VLOOKUP(D36,Datos!$B$8:$E$21,2,)</x:f>
        <x:v>Gastos Indirectos</x:v>
      </x:c>
      <x:c r="F36" s="18" t="str">
        <x:f>VLOOKUP(D36,Datos!$B$8:$E$21,3,)</x:f>
        <x:v>NA</x:v>
      </x:c>
      <x:c r="G36" s="23">
        <x:v>0</x:v>
      </x:c>
      <x:c r="H36" s="18" t="n">
        <x:f>VLOOKUP(D36,Datos!$B$8:$E$21,4)</x:f>
        <x:v>1</x:v>
      </x:c>
      <x:c r="I36" s="19">
        <x:f t="shared" si="1"/>
        <x:v>0</x:v>
      </x:c>
    </x:row>
    <x:row r="37">
      <x:c r="B37" s="14"/>
      <x:c r="C37" s="13"/>
      <x:c r="D37" s="13" t="s">
        <x:v>33</x:v>
      </x:c>
      <x:c r="E37" s="18" t="str">
        <x:f>VLOOKUP(D37,Datos!$B$8:$E$21,2,)</x:f>
        <x:v>Gastos Indirectos</x:v>
      </x:c>
      <x:c r="F37" s="18" t="str">
        <x:f>VLOOKUP(D37,Datos!$B$8:$E$21,3,)</x:f>
        <x:v>NA</x:v>
      </x:c>
      <x:c r="G37" s="23">
        <x:v>0</x:v>
      </x:c>
      <x:c r="H37" s="18" t="n">
        <x:f>VLOOKUP(D37,Datos!$B$8:$E$21,4)</x:f>
        <x:v>1</x:v>
      </x:c>
      <x:c r="I37" s="19">
        <x:f t="shared" si="1"/>
        <x:v>0</x:v>
      </x:c>
    </x:row>
    <x:row r="38">
      <x:c r="B38" s="14"/>
      <x:c r="C38" s="14"/>
      <x:c r="D38" s="13" t="s">
        <x:v>34</x:v>
      </x:c>
      <x:c r="E38" s="18" t="str">
        <x:f>VLOOKUP(D38,Datos!$B$8:$E$21,2,)</x:f>
        <x:v>Gastos Indirectos</x:v>
      </x:c>
      <x:c r="F38" s="18" t="str">
        <x:f>VLOOKUP(D38,Datos!$B$8:$E$21,3,)</x:f>
        <x:v>NA</x:v>
      </x:c>
      <x:c r="G38" s="23">
        <x:v>0</x:v>
      </x:c>
      <x:c r="H38" s="18" t="n">
        <x:f>VLOOKUP(D38,Datos!$B$8:$E$21,4)</x:f>
        <x:v>1</x:v>
      </x:c>
      <x:c r="I38" s="19">
        <x:f t="shared" si="1"/>
        <x:v>0</x:v>
      </x:c>
    </x:row>
    <x:row r="39">
      <x:c r="B39" s="13" t="s">
        <x:v>36</x:v>
      </x:c>
      <x:c r="C39" s="15" t="s">
        <x:v>18</x:v>
      </x:c>
      <x:c r="D39" s="16"/>
      <x:c r="E39" s="16"/>
      <x:c r="F39" s="16"/>
      <x:c r="G39" s="23"/>
      <x:c r="H39" s="16"/>
      <x:c r="I39" s="19" t="n">
        <x:f>I40</x:f>
        <x:v>0</x:v>
      </x:c>
    </x:row>
    <x:row r="40">
      <x:c r="B40" s="13" t="s">
        <x:v>37</x:v>
      </x:c>
      <x:c r="C40" s="17" t="s">
        <x:v>20</x:v>
      </x:c>
      <x:c r="D40" s="16"/>
      <x:c r="E40" s="16"/>
      <x:c r="F40" s="16"/>
      <x:c r="G40" s="23"/>
      <x:c r="H40" s="16"/>
      <x:c r="I40" s="19" t="n">
        <x:f>SUM(I41:I54)</x:f>
        <x:v>0</x:v>
      </x:c>
    </x:row>
    <x:row r="41">
      <x:c r="B41" s="13"/>
      <x:c r="C41" s="16"/>
      <x:c r="D41" s="16" t="s">
        <x:v>21</x:v>
      </x:c>
      <x:c r="E41" s="18" t="str">
        <x:f>VLOOKUP(D41,Datos!$B$8:$E$21,2,)</x:f>
        <x:v>Labor (Personal)</x:v>
      </x:c>
      <x:c r="F41" s="18" t="str">
        <x:f>VLOOKUP(D41,Datos!$B$8:$E$21,3,)</x:f>
        <x:v>Horas / Jornadas</x:v>
      </x:c>
      <x:c r="G41" s="23">
        <x:v>0</x:v>
      </x:c>
      <x:c r="H41" s="18" t="n">
        <x:f>VLOOKUP(D41,Datos!$B$8:$E$21,4,)</x:f>
        <x:v>1</x:v>
      </x:c>
      <x:c r="I41" s="19" t="n">
        <x:f>G41*H41</x:f>
        <x:v>0</x:v>
      </x:c>
    </x:row>
    <x:row r="42">
      <x:c r="B42" s="13"/>
      <x:c r="C42" s="16"/>
      <x:c r="D42" s="16" t="s">
        <x:v>22</x:v>
      </x:c>
      <x:c r="E42" s="18" t="str">
        <x:f>VLOOKUP(D42,Datos!$B$8:$E$21,2,)</x:f>
        <x:v>Labor (Personal)</x:v>
      </x:c>
      <x:c r="F42" s="18" t="str">
        <x:f>VLOOKUP(D42,Datos!$B$8:$E$21,3,)</x:f>
        <x:v>Horas / Jornadas</x:v>
      </x:c>
      <x:c r="G42" s="23">
        <x:v>0</x:v>
      </x:c>
      <x:c r="H42" s="18" t="n">
        <x:f>VLOOKUP(D42,Datos!$B$8:$E$21,4)</x:f>
        <x:v>1</x:v>
      </x:c>
      <x:c r="I42" s="19" t="n">
        <x:f t="shared" ref="I42:I54" si="2">G42*H42</x:f>
        <x:v>0</x:v>
      </x:c>
    </x:row>
    <x:row r="43">
      <x:c r="B43" s="13"/>
      <x:c r="C43" s="16"/>
      <x:c r="D43" s="16" t="s">
        <x:v>23</x:v>
      </x:c>
      <x:c r="E43" s="18" t="str">
        <x:f>VLOOKUP(D43,Datos!$B$8:$E$21,2,)</x:f>
        <x:v>Consultoría</x:v>
      </x:c>
      <x:c r="F43" s="18" t="str">
        <x:f>VLOOKUP(D43,Datos!$B$8:$E$21,3,)</x:f>
        <x:v>Horas / Jornadas</x:v>
      </x:c>
      <x:c r="G43" s="23">
        <x:v>0</x:v>
      </x:c>
      <x:c r="H43" s="18" t="n">
        <x:f>VLOOKUP(D43,Datos!$B$8:$E$21,4)</x:f>
        <x:v>1</x:v>
      </x:c>
      <x:c r="I43" s="19">
        <x:f t="shared" si="2"/>
        <x:v>0</x:v>
      </x:c>
    </x:row>
    <x:row r="44">
      <x:c r="B44" s="13"/>
      <x:c r="C44" s="16"/>
      <x:c r="D44" s="16" t="s">
        <x:v>24</x:v>
      </x:c>
      <x:c r="E44" s="18" t="str">
        <x:f>VLOOKUP(D44,Datos!$B$8:$E$21,2,)</x:f>
        <x:v>Consultoría</x:v>
      </x:c>
      <x:c r="F44" s="18" t="str">
        <x:f>VLOOKUP(D44,Datos!$B$8:$E$21,3,)</x:f>
        <x:v>Horas / Jornadas</x:v>
      </x:c>
      <x:c r="G44" s="23">
        <x:v>0</x:v>
      </x:c>
      <x:c r="H44" s="18" t="n">
        <x:f>VLOOKUP(D44,Datos!$B$8:$E$21,4)</x:f>
        <x:v>1</x:v>
      </x:c>
      <x:c r="I44" s="19">
        <x:f t="shared" si="2"/>
        <x:v>0</x:v>
      </x:c>
    </x:row>
    <x:row r="45">
      <x:c r="B45" s="13"/>
      <x:c r="C45" s="16"/>
      <x:c r="D45" s="16" t="s">
        <x:v>25</x:v>
      </x:c>
      <x:c r="E45" s="18" t="str">
        <x:f>VLOOKUP(D45,Datos!$B$8:$E$21,2,)</x:f>
        <x:v>Materiales</x:v>
      </x:c>
      <x:c r="F45" s="18" t="str">
        <x:f>VLOOKUP(D45,Datos!$B$8:$E$21,3,)</x:f>
        <x:v>Cantidad</x:v>
      </x:c>
      <x:c r="G45" s="23">
        <x:v>0</x:v>
      </x:c>
      <x:c r="H45" s="18" t="n">
        <x:f>VLOOKUP(D45,Datos!$B$8:$E$21,4)</x:f>
        <x:v>1</x:v>
      </x:c>
      <x:c r="I45" s="19">
        <x:f t="shared" si="2"/>
        <x:v>0</x:v>
      </x:c>
    </x:row>
    <x:row r="46">
      <x:c r="B46" s="13"/>
      <x:c r="C46" s="16"/>
      <x:c r="D46" s="16" t="s">
        <x:v>26</x:v>
      </x:c>
      <x:c r="E46" s="18" t="str">
        <x:f>VLOOKUP(D46,Datos!$B$8:$E$21,2,)</x:f>
        <x:v>Materiales</x:v>
      </x:c>
      <x:c r="F46" s="18" t="str">
        <x:f>VLOOKUP(D46,Datos!$B$8:$E$21,3,)</x:f>
        <x:v>Cantidad</x:v>
      </x:c>
      <x:c r="G46" s="23">
        <x:v>0</x:v>
      </x:c>
      <x:c r="H46" s="18" t="n">
        <x:f>VLOOKUP(D46,Datos!$B$8:$E$21,4)</x:f>
        <x:v>1</x:v>
      </x:c>
      <x:c r="I46" s="19">
        <x:f t="shared" si="2"/>
        <x:v>0</x:v>
      </x:c>
    </x:row>
    <x:row r="47">
      <x:c r="B47" s="13"/>
      <x:c r="C47" s="16"/>
      <x:c r="D47" s="16" t="s">
        <x:v>27</x:v>
      </x:c>
      <x:c r="E47" s="18" t="str">
        <x:f>VLOOKUP(D47,Datos!$B$8:$E$21,2,)</x:f>
        <x:v>Materiales</x:v>
      </x:c>
      <x:c r="F47" s="18" t="str">
        <x:f>VLOOKUP(D47,Datos!$B$8:$E$21,3,)</x:f>
        <x:v>Cantidad</x:v>
      </x:c>
      <x:c r="G47" s="23">
        <x:v>0</x:v>
      </x:c>
      <x:c r="H47" s="18" t="n">
        <x:f>VLOOKUP(D47,Datos!$B$8:$E$21,4)</x:f>
        <x:v>1</x:v>
      </x:c>
      <x:c r="I47" s="19">
        <x:f t="shared" si="2"/>
        <x:v>0</x:v>
      </x:c>
    </x:row>
    <x:row r="48">
      <x:c r="B48" s="13"/>
      <x:c r="C48" s="16"/>
      <x:c r="D48" s="16" t="s">
        <x:v>28</x:v>
      </x:c>
      <x:c r="E48" s="18" t="str">
        <x:f>VLOOKUP(D48,Datos!$B$8:$E$21,2,)</x:f>
        <x:v>Licencias</x:v>
      </x:c>
      <x:c r="F48" s="18" t="str">
        <x:f>VLOOKUP(D48,Datos!$B$8:$E$21,3,)</x:f>
        <x:v>Cantidad</x:v>
      </x:c>
      <x:c r="G48" s="23">
        <x:v>0</x:v>
      </x:c>
      <x:c r="H48" s="18" t="n">
        <x:f>VLOOKUP(D48,Datos!$B$8:$E$21,4)</x:f>
        <x:v>1</x:v>
      </x:c>
      <x:c r="I48" s="19">
        <x:f t="shared" si="2"/>
        <x:v>0</x:v>
      </x:c>
    </x:row>
    <x:row r="49">
      <x:c r="B49" s="13"/>
      <x:c r="C49" s="16"/>
      <x:c r="D49" s="16" t="s">
        <x:v>29</x:v>
      </x:c>
      <x:c r="E49" s="18" t="str">
        <x:f>VLOOKUP(D49,Datos!$B$8:$E$21,2,)</x:f>
        <x:v>Licencias</x:v>
      </x:c>
      <x:c r="F49" s="18" t="str">
        <x:f>VLOOKUP(D49,Datos!$B$8:$E$21,3,)</x:f>
        <x:v>Cantidad</x:v>
      </x:c>
      <x:c r="G49" s="23">
        <x:v>0</x:v>
      </x:c>
      <x:c r="H49" s="18" t="n">
        <x:f>VLOOKUP(D49,Datos!$B$8:$E$21,4)</x:f>
        <x:v>1</x:v>
      </x:c>
      <x:c r="I49" s="19">
        <x:f t="shared" si="2"/>
        <x:v>0</x:v>
      </x:c>
    </x:row>
    <x:row r="50">
      <x:c r="B50" s="13"/>
      <x:c r="C50" s="16"/>
      <x:c r="D50" s="16" t="s">
        <x:v>30</x:v>
      </x:c>
      <x:c r="E50" s="18" t="str">
        <x:f>VLOOKUP(D50,Datos!$B$8:$E$21,2,)</x:f>
        <x:v>Viajes</x:v>
      </x:c>
      <x:c r="F50" s="18" t="str">
        <x:f>VLOOKUP(D50,Datos!$B$8:$E$21,3,)</x:f>
        <x:v>Cantidad</x:v>
      </x:c>
      <x:c r="G50" s="23">
        <x:v>0</x:v>
      </x:c>
      <x:c r="H50" s="18" t="n">
        <x:f>VLOOKUP(D50,Datos!$B$8:$E$21,4)</x:f>
        <x:v>1</x:v>
      </x:c>
      <x:c r="I50" s="19">
        <x:f t="shared" si="2"/>
        <x:v>0</x:v>
      </x:c>
    </x:row>
    <x:row r="51">
      <x:c r="B51" s="13"/>
      <x:c r="C51" s="16"/>
      <x:c r="D51" s="16" t="s">
        <x:v>31</x:v>
      </x:c>
      <x:c r="E51" s="18" t="str">
        <x:f>VLOOKUP(D51,Datos!$B$8:$E$21,2,)</x:f>
        <x:v>Viajes</x:v>
      </x:c>
      <x:c r="F51" s="18" t="str">
        <x:f>VLOOKUP(D51,Datos!$B$8:$E$21,3,)</x:f>
        <x:v>Cantidad</x:v>
      </x:c>
      <x:c r="G51" s="23">
        <x:v>0</x:v>
      </x:c>
      <x:c r="H51" s="18" t="n">
        <x:f>VLOOKUP(D51,Datos!$B$8:$E$21,4)</x:f>
        <x:v>1</x:v>
      </x:c>
      <x:c r="I51" s="19">
        <x:f t="shared" si="2"/>
        <x:v>0</x:v>
      </x:c>
    </x:row>
    <x:row r="52">
      <x:c r="B52" s="13"/>
      <x:c r="C52" s="13"/>
      <x:c r="D52" s="13" t="s">
        <x:v>32</x:v>
      </x:c>
      <x:c r="E52" s="18" t="str">
        <x:f>VLOOKUP(D52,Datos!$B$8:$E$21,2,)</x:f>
        <x:v>Gastos Indirectos</x:v>
      </x:c>
      <x:c r="F52" s="18" t="str">
        <x:f>VLOOKUP(D52,Datos!$B$8:$E$21,3,)</x:f>
        <x:v>NA</x:v>
      </x:c>
      <x:c r="G52" s="23">
        <x:v>0</x:v>
      </x:c>
      <x:c r="H52" s="18" t="n">
        <x:f>VLOOKUP(D52,Datos!$B$8:$E$21,4)</x:f>
        <x:v>1</x:v>
      </x:c>
      <x:c r="I52" s="19">
        <x:f t="shared" si="2"/>
        <x:v>0</x:v>
      </x:c>
    </x:row>
    <x:row r="53">
      <x:c r="B53" s="13"/>
      <x:c r="C53" s="13"/>
      <x:c r="D53" s="13" t="s">
        <x:v>33</x:v>
      </x:c>
      <x:c r="E53" s="18" t="str">
        <x:f>VLOOKUP(D53,Datos!$B$8:$E$21,2,)</x:f>
        <x:v>Gastos Indirectos</x:v>
      </x:c>
      <x:c r="F53" s="18" t="str">
        <x:f>VLOOKUP(D53,Datos!$B$8:$E$21,3,)</x:f>
        <x:v>NA</x:v>
      </x:c>
      <x:c r="G53" s="23">
        <x:v>0</x:v>
      </x:c>
      <x:c r="H53" s="18" t="n">
        <x:f>VLOOKUP(D53,Datos!$B$8:$E$21,4)</x:f>
        <x:v>1</x:v>
      </x:c>
      <x:c r="I53" s="19">
        <x:f t="shared" si="2"/>
        <x:v>0</x:v>
      </x:c>
    </x:row>
    <x:row r="54">
      <x:c r="B54" s="13"/>
      <x:c r="C54" s="14"/>
      <x:c r="D54" s="13" t="s">
        <x:v>34</x:v>
      </x:c>
      <x:c r="E54" s="18" t="str">
        <x:f>VLOOKUP(D54,Datos!$B$8:$E$21,2,)</x:f>
        <x:v>Gastos Indirectos</x:v>
      </x:c>
      <x:c r="F54" s="18" t="str">
        <x:f>VLOOKUP(D54,Datos!$B$8:$E$21,3,)</x:f>
        <x:v>NA</x:v>
      </x:c>
      <x:c r="G54" s="23">
        <x:v>0</x:v>
      </x:c>
      <x:c r="H54" s="18" t="n">
        <x:f>VLOOKUP(D54,Datos!$B$8:$E$21,4)</x:f>
        <x:v>1</x:v>
      </x:c>
      <x:c r="I54" s="19">
        <x:f t="shared" si="2"/>
        <x:v>0</x:v>
      </x:c>
    </x:row>
    <x:row r="55" ht="15" customHeight="1">
      <x:c r="B55" s="11">
        <x:v>2</x:v>
      </x:c>
      <x:c r="C55" s="11" t="s">
        <x:v>16</x:v>
      </x:c>
      <x:c r="D55" s="12"/>
      <x:c r="E55" s="12"/>
      <x:c r="F55" s="12"/>
      <x:c r="G55" s="26"/>
      <x:c r="H55" s="12"/>
      <x:c r="I55" s="20" t="n">
        <x:f>I56</x:f>
        <x:v>0</x:v>
      </x:c>
    </x:row>
    <x:row r="56">
      <x:c r="B56" s="13" t="s">
        <x:v>38</x:v>
      </x:c>
      <x:c r="C56" s="15" t="s">
        <x:v>18</x:v>
      </x:c>
      <x:c r="D56" s="16"/>
      <x:c r="E56" s="16"/>
      <x:c r="F56" s="16"/>
      <x:c r="G56" s="23"/>
      <x:c r="H56" s="16"/>
      <x:c r="I56" s="19" t="n">
        <x:f>I57</x:f>
        <x:v>0</x:v>
      </x:c>
    </x:row>
    <x:row r="57">
      <x:c r="B57" s="13" t="s">
        <x:v>39</x:v>
      </x:c>
      <x:c r="C57" s="17" t="s">
        <x:v>20</x:v>
      </x:c>
      <x:c r="D57" s="16"/>
      <x:c r="E57" s="16"/>
      <x:c r="F57" s="16"/>
      <x:c r="G57" s="23"/>
      <x:c r="H57" s="16"/>
      <x:c r="I57" s="19" t="n">
        <x:f>SUM(I58:I71)</x:f>
        <x:v>0</x:v>
      </x:c>
    </x:row>
    <x:row r="58">
      <x:c r="B58" s="13"/>
      <x:c r="C58" s="16"/>
      <x:c r="D58" s="16" t="s">
        <x:v>21</x:v>
      </x:c>
      <x:c r="E58" s="18" t="str">
        <x:f>VLOOKUP(D58,Datos!$B$8:$E$21,2,)</x:f>
        <x:v>Labor (Personal)</x:v>
      </x:c>
      <x:c r="F58" s="18" t="str">
        <x:f>VLOOKUP(D58,Datos!$B$8:$E$21,3,)</x:f>
        <x:v>Horas / Jornadas</x:v>
      </x:c>
      <x:c r="G58" s="23">
        <x:v>0</x:v>
      </x:c>
      <x:c r="H58" s="18" t="n">
        <x:f>VLOOKUP(D58,Datos!$B$8:$E$21,4,)</x:f>
        <x:v>1</x:v>
      </x:c>
      <x:c r="I58" s="19" t="n">
        <x:f>G58*H58</x:f>
        <x:v>0</x:v>
      </x:c>
    </x:row>
    <x:row r="59">
      <x:c r="B59" s="13"/>
      <x:c r="C59" s="16"/>
      <x:c r="D59" s="16" t="s">
        <x:v>22</x:v>
      </x:c>
      <x:c r="E59" s="18" t="str">
        <x:f>VLOOKUP(D59,Datos!$B$8:$E$21,2,)</x:f>
        <x:v>Labor (Personal)</x:v>
      </x:c>
      <x:c r="F59" s="18" t="str">
        <x:f>VLOOKUP(D59,Datos!$B$8:$E$21,3,)</x:f>
        <x:v>Horas / Jornadas</x:v>
      </x:c>
      <x:c r="G59" s="23">
        <x:v>0</x:v>
      </x:c>
      <x:c r="H59" s="18" t="n">
        <x:f>VLOOKUP(D59,Datos!$B$8:$E$21,4)</x:f>
        <x:v>1</x:v>
      </x:c>
      <x:c r="I59" s="19" t="n">
        <x:f t="shared" ref="I59:I71" si="3">G59*H59</x:f>
        <x:v>0</x:v>
      </x:c>
    </x:row>
    <x:row r="60">
      <x:c r="B60" s="13"/>
      <x:c r="C60" s="16"/>
      <x:c r="D60" s="16" t="s">
        <x:v>23</x:v>
      </x:c>
      <x:c r="E60" s="18" t="str">
        <x:f>VLOOKUP(D60,Datos!$B$8:$E$21,2,)</x:f>
        <x:v>Consultoría</x:v>
      </x:c>
      <x:c r="F60" s="18" t="str">
        <x:f>VLOOKUP(D60,Datos!$B$8:$E$21,3,)</x:f>
        <x:v>Horas / Jornadas</x:v>
      </x:c>
      <x:c r="G60" s="23">
        <x:v>0</x:v>
      </x:c>
      <x:c r="H60" s="18" t="n">
        <x:f>VLOOKUP(D60,Datos!$B$8:$E$21,4)</x:f>
        <x:v>1</x:v>
      </x:c>
      <x:c r="I60" s="19">
        <x:f t="shared" si="3"/>
        <x:v>0</x:v>
      </x:c>
    </x:row>
    <x:row r="61">
      <x:c r="B61" s="13"/>
      <x:c r="C61" s="16"/>
      <x:c r="D61" s="16" t="s">
        <x:v>24</x:v>
      </x:c>
      <x:c r="E61" s="18" t="str">
        <x:f>VLOOKUP(D61,Datos!$B$8:$E$21,2,)</x:f>
        <x:v>Consultoría</x:v>
      </x:c>
      <x:c r="F61" s="18" t="str">
        <x:f>VLOOKUP(D61,Datos!$B$8:$E$21,3,)</x:f>
        <x:v>Horas / Jornadas</x:v>
      </x:c>
      <x:c r="G61" s="23">
        <x:v>0</x:v>
      </x:c>
      <x:c r="H61" s="18" t="n">
        <x:f>VLOOKUP(D61,Datos!$B$8:$E$21,4)</x:f>
        <x:v>1</x:v>
      </x:c>
      <x:c r="I61" s="19">
        <x:f t="shared" si="3"/>
        <x:v>0</x:v>
      </x:c>
    </x:row>
    <x:row r="62">
      <x:c r="B62" s="13"/>
      <x:c r="C62" s="16"/>
      <x:c r="D62" s="16" t="s">
        <x:v>25</x:v>
      </x:c>
      <x:c r="E62" s="18" t="str">
        <x:f>VLOOKUP(D62,Datos!$B$8:$E$21,2,)</x:f>
        <x:v>Materiales</x:v>
      </x:c>
      <x:c r="F62" s="18" t="str">
        <x:f>VLOOKUP(D62,Datos!$B$8:$E$21,3,)</x:f>
        <x:v>Cantidad</x:v>
      </x:c>
      <x:c r="G62" s="23">
        <x:v>0</x:v>
      </x:c>
      <x:c r="H62" s="18" t="n">
        <x:f>VLOOKUP(D62,Datos!$B$8:$E$21,4)</x:f>
        <x:v>1</x:v>
      </x:c>
      <x:c r="I62" s="19">
        <x:f t="shared" si="3"/>
        <x:v>0</x:v>
      </x:c>
    </x:row>
    <x:row r="63">
      <x:c r="B63" s="13"/>
      <x:c r="C63" s="16"/>
      <x:c r="D63" s="16" t="s">
        <x:v>26</x:v>
      </x:c>
      <x:c r="E63" s="18" t="str">
        <x:f>VLOOKUP(D63,Datos!$B$8:$E$21,2,)</x:f>
        <x:v>Materiales</x:v>
      </x:c>
      <x:c r="F63" s="18" t="str">
        <x:f>VLOOKUP(D63,Datos!$B$8:$E$21,3,)</x:f>
        <x:v>Cantidad</x:v>
      </x:c>
      <x:c r="G63" s="23">
        <x:v>0</x:v>
      </x:c>
      <x:c r="H63" s="18" t="n">
        <x:f>VLOOKUP(D63,Datos!$B$8:$E$21,4)</x:f>
        <x:v>1</x:v>
      </x:c>
      <x:c r="I63" s="19">
        <x:f t="shared" si="3"/>
        <x:v>0</x:v>
      </x:c>
    </x:row>
    <x:row r="64">
      <x:c r="B64" s="13"/>
      <x:c r="C64" s="16"/>
      <x:c r="D64" s="16" t="s">
        <x:v>27</x:v>
      </x:c>
      <x:c r="E64" s="18" t="str">
        <x:f>VLOOKUP(D64,Datos!$B$8:$E$21,2,)</x:f>
        <x:v>Materiales</x:v>
      </x:c>
      <x:c r="F64" s="18" t="str">
        <x:f>VLOOKUP(D64,Datos!$B$8:$E$21,3,)</x:f>
        <x:v>Cantidad</x:v>
      </x:c>
      <x:c r="G64" s="23">
        <x:v>0</x:v>
      </x:c>
      <x:c r="H64" s="18" t="n">
        <x:f>VLOOKUP(D64,Datos!$B$8:$E$21,4)</x:f>
        <x:v>1</x:v>
      </x:c>
      <x:c r="I64" s="19">
        <x:f t="shared" si="3"/>
        <x:v>0</x:v>
      </x:c>
    </x:row>
    <x:row r="65">
      <x:c r="B65" s="13"/>
      <x:c r="C65" s="16"/>
      <x:c r="D65" s="16" t="s">
        <x:v>28</x:v>
      </x:c>
      <x:c r="E65" s="18" t="str">
        <x:f>VLOOKUP(D65,Datos!$B$8:$E$21,2,)</x:f>
        <x:v>Licencias</x:v>
      </x:c>
      <x:c r="F65" s="18" t="str">
        <x:f>VLOOKUP(D65,Datos!$B$8:$E$21,3,)</x:f>
        <x:v>Cantidad</x:v>
      </x:c>
      <x:c r="G65" s="23">
        <x:v>0</x:v>
      </x:c>
      <x:c r="H65" s="18" t="n">
        <x:f>VLOOKUP(D65,Datos!$B$8:$E$21,4)</x:f>
        <x:v>1</x:v>
      </x:c>
      <x:c r="I65" s="19">
        <x:f t="shared" si="3"/>
        <x:v>0</x:v>
      </x:c>
    </x:row>
    <x:row r="66">
      <x:c r="B66" s="13"/>
      <x:c r="C66" s="16"/>
      <x:c r="D66" s="16" t="s">
        <x:v>29</x:v>
      </x:c>
      <x:c r="E66" s="18" t="str">
        <x:f>VLOOKUP(D66,Datos!$B$8:$E$21,2,)</x:f>
        <x:v>Licencias</x:v>
      </x:c>
      <x:c r="F66" s="18" t="str">
        <x:f>VLOOKUP(D66,Datos!$B$8:$E$21,3,)</x:f>
        <x:v>Cantidad</x:v>
      </x:c>
      <x:c r="G66" s="23">
        <x:v>0</x:v>
      </x:c>
      <x:c r="H66" s="18" t="n">
        <x:f>VLOOKUP(D66,Datos!$B$8:$E$21,4)</x:f>
        <x:v>1</x:v>
      </x:c>
      <x:c r="I66" s="19">
        <x:f t="shared" si="3"/>
        <x:v>0</x:v>
      </x:c>
    </x:row>
    <x:row r="67">
      <x:c r="B67" s="13"/>
      <x:c r="C67" s="16"/>
      <x:c r="D67" s="16" t="s">
        <x:v>30</x:v>
      </x:c>
      <x:c r="E67" s="18" t="str">
        <x:f>VLOOKUP(D67,Datos!$B$8:$E$21,2,)</x:f>
        <x:v>Viajes</x:v>
      </x:c>
      <x:c r="F67" s="18" t="str">
        <x:f>VLOOKUP(D67,Datos!$B$8:$E$21,3,)</x:f>
        <x:v>Cantidad</x:v>
      </x:c>
      <x:c r="G67" s="23">
        <x:v>0</x:v>
      </x:c>
      <x:c r="H67" s="18" t="n">
        <x:f>VLOOKUP(D67,Datos!$B$8:$E$21,4)</x:f>
        <x:v>1</x:v>
      </x:c>
      <x:c r="I67" s="19">
        <x:f t="shared" si="3"/>
        <x:v>0</x:v>
      </x:c>
    </x:row>
    <x:row r="68">
      <x:c r="B68" s="13"/>
      <x:c r="C68" s="16"/>
      <x:c r="D68" s="16" t="s">
        <x:v>31</x:v>
      </x:c>
      <x:c r="E68" s="18" t="str">
        <x:f>VLOOKUP(D68,Datos!$B$8:$E$21,2,)</x:f>
        <x:v>Viajes</x:v>
      </x:c>
      <x:c r="F68" s="18" t="str">
        <x:f>VLOOKUP(D68,Datos!$B$8:$E$21,3,)</x:f>
        <x:v>Cantidad</x:v>
      </x:c>
      <x:c r="G68" s="23">
        <x:v>0</x:v>
      </x:c>
      <x:c r="H68" s="18" t="n">
        <x:f>VLOOKUP(D68,Datos!$B$8:$E$21,4)</x:f>
        <x:v>1</x:v>
      </x:c>
      <x:c r="I68" s="19">
        <x:f t="shared" si="3"/>
        <x:v>0</x:v>
      </x:c>
    </x:row>
    <x:row r="69">
      <x:c r="B69" s="13"/>
      <x:c r="C69" s="13"/>
      <x:c r="D69" s="13" t="s">
        <x:v>32</x:v>
      </x:c>
      <x:c r="E69" s="18" t="str">
        <x:f>VLOOKUP(D69,Datos!$B$8:$E$21,2,)</x:f>
        <x:v>Gastos Indirectos</x:v>
      </x:c>
      <x:c r="F69" s="18" t="str">
        <x:f>VLOOKUP(D69,Datos!$B$8:$E$21,3,)</x:f>
        <x:v>NA</x:v>
      </x:c>
      <x:c r="G69" s="23">
        <x:v>0</x:v>
      </x:c>
      <x:c r="H69" s="18" t="n">
        <x:f>VLOOKUP(D69,Datos!$B$8:$E$21,4)</x:f>
        <x:v>1</x:v>
      </x:c>
      <x:c r="I69" s="19">
        <x:f t="shared" si="3"/>
        <x:v>0</x:v>
      </x:c>
    </x:row>
    <x:row r="70">
      <x:c r="B70" s="13"/>
      <x:c r="C70" s="13"/>
      <x:c r="D70" s="13" t="s">
        <x:v>33</x:v>
      </x:c>
      <x:c r="E70" s="18" t="str">
        <x:f>VLOOKUP(D70,Datos!$B$8:$E$21,2,)</x:f>
        <x:v>Gastos Indirectos</x:v>
      </x:c>
      <x:c r="F70" s="18" t="str">
        <x:f>VLOOKUP(D70,Datos!$B$8:$E$21,3,)</x:f>
        <x:v>NA</x:v>
      </x:c>
      <x:c r="G70" s="23">
        <x:v>0</x:v>
      </x:c>
      <x:c r="H70" s="18" t="n">
        <x:f>VLOOKUP(D70,Datos!$B$8:$E$21,4)</x:f>
        <x:v>1</x:v>
      </x:c>
      <x:c r="I70" s="19">
        <x:f t="shared" si="3"/>
        <x:v>0</x:v>
      </x:c>
    </x:row>
    <x:row r="71">
      <x:c r="B71" s="13"/>
      <x:c r="C71" s="14"/>
      <x:c r="D71" s="13" t="s">
        <x:v>34</x:v>
      </x:c>
      <x:c r="E71" s="18" t="str">
        <x:f>VLOOKUP(D71,Datos!$B$8:$E$21,2,)</x:f>
        <x:v>Gastos Indirectos</x:v>
      </x:c>
      <x:c r="F71" s="18" t="str">
        <x:f>VLOOKUP(D71,Datos!$B$8:$E$21,3,)</x:f>
        <x:v>NA</x:v>
      </x:c>
      <x:c r="G71" s="23">
        <x:v>0</x:v>
      </x:c>
      <x:c r="H71" s="18" t="n">
        <x:f>VLOOKUP(D71,Datos!$B$8:$E$21,4)</x:f>
        <x:v>1</x:v>
      </x:c>
      <x:c r="I71" s="19">
        <x:f t="shared" si="3"/>
        <x:v>0</x:v>
      </x:c>
    </x:row>
  </x:sheetData>
  <x:pageMargins left="0.7" right="0.7" top="0.75" bottom="0.75" header="0.3" footer="0.3"/>
</x:worksheet>
</file>

<file path=xl/worksheets/sheet3.xml><?xml version="1.0" encoding="utf-8"?>
<x:worksheet xmlns:x="http://schemas.openxmlformats.org/spreadsheetml/2006/main">
  <x:sheetFormatPr baseColWidth="10" defaultColWidth="11.44140625" defaultRowHeight="14.399999618530273"/>
  <x:cols>
    <x:col min="1" max="1" width="1.44140625" style="1" customWidth="1"/>
    <x:col min="2" max="2" width="27.109375" style="1" customWidth="1"/>
    <x:col min="3" max="3" width="22.5546875" style="1" customWidth="1"/>
    <x:col min="4" max="4" width="25.109375" style="1" customWidth="1"/>
    <x:col min="5" max="5" width="6" style="1" customWidth="1"/>
    <x:col min="6" max="6" width="5.44140625" style="1" customWidth="1"/>
    <x:col min="7" max="7" width="14.5546875" style="1" customWidth="1"/>
    <x:col min="8" max="8" width="9.88671875" style="1" customWidth="1"/>
    <x:col min="9" max="9" width="13.109375" style="1" customWidth="1"/>
    <x:col min="10" max="10" width="17.88671875" style="1" customWidth="1"/>
    <x:col min="11" max="11" width="12.33203125" style="1" customWidth="1"/>
    <x:col min="12" max="12" width="2.109375" style="1" customWidth="1"/>
    <x:col min="13" max="16384" width="11.44140625" style="1" customWidth="0"/>
  </x:cols>
  <x:sheetData>
    <x:row r="1" ht="25.799999237060547">
      <x:c r="B1" s="6" t="s">
        <x:v>0</x:v>
      </x:c>
      <x:c r="D1" s="4" t="s">
        <x:v>1</x:v>
      </x:c>
    </x:row>
    <x:row r="2" ht="18">
      <x:c r="B2" s="7" t="s">
        <x:v>2</x:v>
      </x:c>
    </x:row>
    <x:row r="3" ht="15.600000381469727">
      <x:c r="B3" s="8" t="s">
        <x:v>4</x:v>
      </x:c>
      <x:c r="E3" s="3"/>
      <x:c r="F3" s="3"/>
    </x:row>
    <x:row r="4" ht="15.600000381469727">
      <x:c r="B4" s="8" t="s">
        <x:v>8</x:v>
      </x:c>
      <x:c r="E4" s="3"/>
      <x:c r="F4" s="5"/>
    </x:row>
    <x:row r="6" ht="15.600000381469727">
      <x:c r="B6" s="10" t="s">
        <x:v>11</x:v>
      </x:c>
      <x:c r="C6" s="10" t="s">
        <x:v>12</x:v>
      </x:c>
      <x:c r="D6" s="10" t="s">
        <x:v>13</x:v>
      </x:c>
      <x:c r="E6" s="10" t="s">
        <x:v>15</x:v>
      </x:c>
    </x:row>
    <x:row r="7">
      <x:c r="B7" s="12"/>
      <x:c r="C7" s="12"/>
      <x:c r="D7" s="12"/>
      <x:c r="E7" s="12"/>
    </x:row>
    <x:row r="8">
      <x:c r="B8" s="16" t="s">
        <x:v>21</x:v>
      </x:c>
      <x:c r="C8" s="16" t="s">
        <x:v>40</x:v>
      </x:c>
      <x:c r="D8" s="16" t="s">
        <x:v>41</x:v>
      </x:c>
      <x:c r="E8" s="18">
        <x:v>1</x:v>
      </x:c>
    </x:row>
    <x:row r="9">
      <x:c r="B9" s="16" t="s">
        <x:v>22</x:v>
      </x:c>
      <x:c r="C9" s="16" t="s">
        <x:v>40</x:v>
      </x:c>
      <x:c r="D9" s="16" t="s">
        <x:v>41</x:v>
      </x:c>
      <x:c r="E9" s="18">
        <x:v>1</x:v>
      </x:c>
    </x:row>
    <x:row r="10">
      <x:c r="B10" s="16" t="s">
        <x:v>23</x:v>
      </x:c>
      <x:c r="C10" s="16" t="s">
        <x:v>42</x:v>
      </x:c>
      <x:c r="D10" s="16" t="s">
        <x:v>41</x:v>
      </x:c>
      <x:c r="E10" s="18">
        <x:v>1</x:v>
      </x:c>
    </x:row>
    <x:row r="11">
      <x:c r="B11" s="16" t="s">
        <x:v>24</x:v>
      </x:c>
      <x:c r="C11" s="16" t="s">
        <x:v>42</x:v>
      </x:c>
      <x:c r="D11" s="16" t="s">
        <x:v>41</x:v>
      </x:c>
      <x:c r="E11" s="18">
        <x:v>1</x:v>
      </x:c>
    </x:row>
    <x:row r="12">
      <x:c r="B12" s="16" t="s">
        <x:v>25</x:v>
      </x:c>
      <x:c r="C12" s="16" t="s">
        <x:v>43</x:v>
      </x:c>
      <x:c r="D12" s="16" t="s">
        <x:v>44</x:v>
      </x:c>
      <x:c r="E12" s="18">
        <x:v>1</x:v>
      </x:c>
    </x:row>
    <x:row r="13">
      <x:c r="B13" s="16" t="s">
        <x:v>26</x:v>
      </x:c>
      <x:c r="C13" s="16" t="s">
        <x:v>43</x:v>
      </x:c>
      <x:c r="D13" s="16" t="s">
        <x:v>44</x:v>
      </x:c>
      <x:c r="E13" s="18">
        <x:v>1</x:v>
      </x:c>
    </x:row>
    <x:row r="14">
      <x:c r="B14" s="16" t="s">
        <x:v>27</x:v>
      </x:c>
      <x:c r="C14" s="16" t="s">
        <x:v>43</x:v>
      </x:c>
      <x:c r="D14" s="16" t="s">
        <x:v>44</x:v>
      </x:c>
      <x:c r="E14" s="18">
        <x:v>1</x:v>
      </x:c>
    </x:row>
    <x:row r="15">
      <x:c r="B15" s="16" t="s">
        <x:v>28</x:v>
      </x:c>
      <x:c r="C15" s="16" t="s">
        <x:v>45</x:v>
      </x:c>
      <x:c r="D15" s="16" t="s">
        <x:v>44</x:v>
      </x:c>
      <x:c r="E15" s="18">
        <x:v>1</x:v>
      </x:c>
    </x:row>
    <x:row r="16">
      <x:c r="B16" s="16" t="s">
        <x:v>29</x:v>
      </x:c>
      <x:c r="C16" s="16" t="s">
        <x:v>45</x:v>
      </x:c>
      <x:c r="D16" s="16" t="s">
        <x:v>44</x:v>
      </x:c>
      <x:c r="E16" s="18">
        <x:v>1</x:v>
      </x:c>
    </x:row>
    <x:row r="17">
      <x:c r="B17" s="16" t="s">
        <x:v>30</x:v>
      </x:c>
      <x:c r="C17" s="16" t="s">
        <x:v>46</x:v>
      </x:c>
      <x:c r="D17" s="16" t="s">
        <x:v>44</x:v>
      </x:c>
      <x:c r="E17" s="18">
        <x:v>1</x:v>
      </x:c>
    </x:row>
    <x:row r="18">
      <x:c r="B18" s="16" t="s">
        <x:v>31</x:v>
      </x:c>
      <x:c r="C18" s="16" t="s">
        <x:v>46</x:v>
      </x:c>
      <x:c r="D18" s="16" t="s">
        <x:v>44</x:v>
      </x:c>
      <x:c r="E18" s="18">
        <x:v>1</x:v>
      </x:c>
    </x:row>
    <x:row r="19">
      <x:c r="B19" s="13" t="s">
        <x:v>32</x:v>
      </x:c>
      <x:c r="C19" s="13" t="s">
        <x:v>47</x:v>
      </x:c>
      <x:c r="D19" s="13" t="s">
        <x:v>48</x:v>
      </x:c>
      <x:c r="E19" s="18">
        <x:v>1</x:v>
      </x:c>
    </x:row>
    <x:row r="20">
      <x:c r="B20" s="13" t="s">
        <x:v>33</x:v>
      </x:c>
      <x:c r="C20" s="13" t="s">
        <x:v>47</x:v>
      </x:c>
      <x:c r="D20" s="13" t="s">
        <x:v>48</x:v>
      </x:c>
      <x:c r="E20" s="18">
        <x:v>1</x:v>
      </x:c>
    </x:row>
    <x:row r="21">
      <x:c r="B21" s="13" t="s">
        <x:v>34</x:v>
      </x:c>
      <x:c r="C21" s="13" t="s">
        <x:v>47</x:v>
      </x:c>
      <x:c r="D21" s="13" t="s">
        <x:v>48</x:v>
      </x:c>
      <x:c r="E21" s="18">
        <x:v>1</x:v>
      </x:c>
    </x:row>
  </x:sheetData>
  <x:pageMargins left="0.7" right="0.7" top="0.75" bottom="0.75" header="0.3" footer="0.3"/>
</x:worksheet>
</file>

<file path=xl/worksheets/sheet4.xml><?xml version="1.0" encoding="utf-8"?>
<x:worksheet xmlns:x="http://schemas.openxmlformats.org/spreadsheetml/2006/main">
  <x:sheetFormatPr baseColWidth="10" defaultColWidth="11.44140625" defaultRowHeight="14.399999618530273"/>
  <x:cols>
    <x:col min="1" max="1" width="1.5546875" style="2" customWidth="1"/>
    <x:col min="2" max="2" width="27.6640625" style="2" customWidth="1"/>
    <x:col min="3" max="3" width="86" style="2" customWidth="1"/>
    <x:col min="4" max="4" width="2.88671875" style="2" customWidth="1"/>
    <x:col min="5" max="16384" width="11.44140625" style="2" customWidth="0"/>
  </x:cols>
  <x:sheetData>
    <x:row r="1" s="1" customFormat="1" ht="25.799999237060547">
      <x:c r="B1" s="6" t="s">
        <x:v>0</x:v>
      </x:c>
      <x:c r="D1" s="4"/>
    </x:row>
    <x:row r="2" s="1" customFormat="1" ht="18">
      <x:c r="B2" s="7" t="s">
        <x:v>2</x:v>
      </x:c>
    </x:row>
    <x:row r="4" ht="15.600000381469727">
      <x:c r="B4" s="27" t="s">
        <x:v>49</x:v>
      </x:c>
    </x:row>
    <x:row r="5" ht="15.600000381469727">
      <x:c r="B5" s="27" t="s">
        <x:v>50</x:v>
      </x:c>
      <x:c r="C5" s="2" t="s">
        <x:v>51</x:v>
      </x:c>
    </x:row>
    <x:row r="6" ht="15.600000381469727">
      <x:c r="B6" s="10" t="s">
        <x:v>52</x:v>
      </x:c>
      <x:c r="C6" s="10" t="s">
        <x:v>53</x:v>
      </x:c>
    </x:row>
    <x:row r="7">
      <x:c r="B7" s="12"/>
      <x:c r="C7" s="12"/>
      <x:c r="D7" s="16"/>
      <x:c r="E7" s="12"/>
    </x:row>
    <x:row r="8" ht="28.799999237060547">
      <x:c r="B8" s="29" t="s">
        <x:v>11</x:v>
      </x:c>
      <x:c r="C8" s="30" t="s">
        <x:v>54</x:v>
      </x:c>
      <x:c r="D8" s="16"/>
      <x:c r="E8" s="18"/>
    </x:row>
    <x:row r="9" ht="57.599998474121094">
      <x:c r="B9" s="29" t="s">
        <x:v>12</x:v>
      </x:c>
      <x:c r="C9" s="30" t="s">
        <x:v>55</x:v>
      </x:c>
    </x:row>
    <x:row r="10" ht="43.20000076293945">
      <x:c r="B10" s="29" t="s">
        <x:v>13</x:v>
      </x:c>
      <x:c r="C10" s="30" t="s">
        <x:v>56</x:v>
      </x:c>
    </x:row>
    <x:row r="11" ht="43.20000076293945">
      <x:c r="B11" s="29" t="s">
        <x:v>15</x:v>
      </x:c>
      <x:c r="C11" s="30" t="s">
        <x:v>57</x:v>
      </x:c>
    </x:row>
    <x:row r="12">
      <x:c r="B12" s="16"/>
      <x:c r="C12" s="28"/>
    </x:row>
    <x:row r="13" ht="15.600000381469727">
      <x:c r="B13" s="27" t="s">
        <x:v>58</x:v>
      </x:c>
    </x:row>
    <x:row r="14" ht="28.799999237060547">
      <x:c r="B14" s="27" t="s">
        <x:v>50</x:v>
      </x:c>
      <x:c r="C14" s="31" t="s">
        <x:v>59</x:v>
      </x:c>
    </x:row>
    <x:row r="15" ht="15.600000381469727">
      <x:c r="B15" s="10" t="s">
        <x:v>52</x:v>
      </x:c>
      <x:c r="C15" s="10" t="s">
        <x:v>53</x:v>
      </x:c>
    </x:row>
    <x:row r="16">
      <x:c r="B16" s="12"/>
      <x:c r="C16" s="12"/>
      <x:c r="D16" s="16"/>
      <x:c r="E16" s="12"/>
    </x:row>
    <x:row r="17" ht="28.799999237060547">
      <x:c r="B17" s="29" t="s">
        <x:v>9</x:v>
      </x:c>
      <x:c r="C17" s="30" t="s">
        <x:v>60</x:v>
      </x:c>
      <x:c r="D17" s="16"/>
      <x:c r="E17" s="18"/>
    </x:row>
    <x:row r="18" ht="28.799999237060547">
      <x:c r="B18" s="29" t="s">
        <x:v>10</x:v>
      </x:c>
      <x:c r="C18" s="30" t="s">
        <x:v>61</x:v>
      </x:c>
    </x:row>
    <x:row r="19" ht="43.20000076293945">
      <x:c r="B19" s="29" t="s">
        <x:v>11</x:v>
      </x:c>
      <x:c r="C19" s="30" t="s">
        <x:v>62</x:v>
      </x:c>
    </x:row>
    <x:row r="20" ht="43.20000076293945">
      <x:c r="B20" s="29" t="s">
        <x:v>12</x:v>
      </x:c>
      <x:c r="C20" s="30" t="s">
        <x:v>63</x:v>
      </x:c>
    </x:row>
    <x:row r="21" ht="28.799999237060547">
      <x:c r="B21" s="29" t="s">
        <x:v>13</x:v>
      </x:c>
      <x:c r="C21" s="30" t="s">
        <x:v>64</x:v>
      </x:c>
    </x:row>
    <x:row r="22" ht="28.799999237060547">
      <x:c r="B22" s="29" t="s">
        <x:v>14</x:v>
      </x:c>
      <x:c r="C22" s="30" t="s">
        <x:v>65</x:v>
      </x:c>
    </x:row>
    <x:row r="23" ht="28.799999237060547">
      <x:c r="B23" s="29" t="s">
        <x:v>15</x:v>
      </x:c>
      <x:c r="C23" s="30" t="s">
        <x:v>66</x:v>
      </x:c>
    </x:row>
    <x:row r="24" ht="28.799999237060547">
      <x:c r="B24" s="29" t="s">
        <x:v>5</x:v>
      </x:c>
      <x:c r="C24" s="30" t="s">
        <x:v>67</x:v>
      </x:c>
    </x:row>
    <x:row r="26" ht="15.600000381469727">
      <x:c r="B26" s="27" t="s">
        <x:v>68</x:v>
      </x:c>
    </x:row>
    <x:row r="27" ht="28.799999237060547">
      <x:c r="B27" s="27" t="s">
        <x:v>50</x:v>
      </x:c>
      <x:c r="C27" s="31" t="s">
        <x:v>69</x:v>
      </x:c>
    </x:row>
    <x:row r="28" ht="15.600000381469727">
      <x:c r="B28" s="10" t="s">
        <x:v>52</x:v>
      </x:c>
      <x:c r="C28" s="10" t="s">
        <x:v>53</x:v>
      </x:c>
    </x:row>
    <x:row r="29">
      <x:c r="B29" s="12"/>
      <x:c r="C29" s="12"/>
      <x:c r="D29" s="16"/>
      <x:c r="E29" s="12"/>
    </x:row>
    <x:row r="30" ht="28.799999237060547">
      <x:c r="B30" s="29" t="s">
        <x:v>70</x:v>
      </x:c>
      <x:c r="C30" s="30" t="s">
        <x:v>71</x:v>
      </x:c>
      <x:c r="D30" s="16"/>
      <x:c r="E30" s="18"/>
    </x:row>
    <x:row r="31" ht="43.20000076293945">
      <x:c r="B31" s="29" t="s">
        <x:v>72</x:v>
      </x:c>
      <x:c r="C31" s="30" t="s">
        <x:v>62</x:v>
      </x:c>
    </x:row>
    <x:row r="32" ht="28.799999237060547">
      <x:c r="B32" s="29" t="s">
        <x:v>13</x:v>
      </x:c>
      <x:c r="C32" s="30" t="s">
        <x:v>64</x:v>
      </x:c>
    </x:row>
    <x:row r="33" ht="28.799999237060547">
      <x:c r="B33" s="29" t="s">
        <x:v>15</x:v>
      </x:c>
      <x:c r="C33" s="30" t="s">
        <x:v>66</x:v>
      </x:c>
    </x:row>
    <x:row r="34" ht="28.799999237060547">
      <x:c r="B34" s="29" t="s">
        <x:v>5</x:v>
      </x:c>
      <x:c r="C34" s="30" t="s">
        <x:v>73</x:v>
      </x:c>
    </x:row>
  </x:sheetData>
  <x:pageMargins left="0.7" right="0.7" top="0.75" bottom="0.75" header="0.3" footer="0.3"/>
</x:worksheet>
</file>